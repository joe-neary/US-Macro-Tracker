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_Chart Data" sheetId="2" state="veryHidden" r:id="rId2"/>
    <sheet name="Job Market" sheetId="3" state="visible" r:id="rId3"/>
    <sheet name="Inflation" sheetId="4" state="visible" r:id="rId4"/>
    <sheet name="Economic Activities" sheetId="5" state="visible" r:id="rId5"/>
    <sheet name="Leading Indicators" sheetId="6" state="visible" r:id="rId6"/>
    <sheet name="Market Positioning" sheetId="7" state="visible" r:id="rId7"/>
    <sheet name="Guide &amp; Sources" sheetId="8" state="visible" r:id="rId8"/>
  </sheets>
  <definedNames/>
  <calcPr calcId="124519" fullCalcOnLoad="1"/>
</workbook>
</file>

<file path=xl/styles.xml><?xml version="1.0" encoding="utf-8"?>
<styleSheet xmlns="http://schemas.openxmlformats.org/spreadsheetml/2006/main">
  <numFmts count="8">
    <numFmt numFmtId="164" formatCode="#,##0.0&quot;%&quot;"/>
    <numFmt numFmtId="165" formatCode="+#,##0.0;-#,##0.0"/>
    <numFmt numFmtId="166" formatCode="#,##0.00&quot;%&quot;"/>
    <numFmt numFmtId="167" formatCode="#,##0.0"/>
    <numFmt numFmtId="168" formatCode="+#,##0.00;-#,##0.00"/>
    <numFmt numFmtId="169" formatCode="+#,##0.0&quot;%&quot;;-#,##0.0&quot;%&quot;"/>
    <numFmt numFmtId="170" formatCode="0.0"/>
    <numFmt numFmtId="171" formatCode="0.000"/>
  </numFmts>
  <fonts count="24">
    <font>
      <name val="Calibri"/>
      <family val="2"/>
      <color theme="1"/>
      <sz val="11"/>
      <scheme val="minor"/>
    </font>
    <font>
      <name val="Calibri"/>
      <b val="1"/>
      <color rgb="00FFFFFF"/>
      <sz val="20"/>
    </font>
    <font>
      <name val="Calibri"/>
      <color rgb="00BDD7EE"/>
      <sz val="9"/>
    </font>
    <font>
      <name val="Calibri"/>
      <b val="1"/>
      <color rgb="00FFFFFF"/>
      <sz val="22"/>
    </font>
    <font>
      <name val="Calibri"/>
      <b val="1"/>
      <color rgb="00FFFFFF"/>
      <sz val="14"/>
    </font>
    <font>
      <name val="Calibri"/>
      <b val="1"/>
      <color rgb="00FFFFFF"/>
      <sz val="9"/>
    </font>
    <font>
      <name val="Calibri"/>
      <b val="1"/>
      <color rgb="00FFFFFF"/>
      <sz val="8"/>
    </font>
    <font>
      <name val="Calibri"/>
      <color rgb="004A4A4A"/>
      <sz val="9"/>
    </font>
    <font>
      <name val="Calibri"/>
      <b val="1"/>
      <color rgb="00000000"/>
      <sz val="10"/>
    </font>
    <font>
      <name val="Calibri"/>
      <i val="1"/>
      <color rgb="004A4A4A"/>
      <sz val="8"/>
    </font>
    <font>
      <name val="Calibri"/>
      <color rgb="00000000"/>
      <sz val="9"/>
    </font>
    <font>
      <name val="Calibri"/>
      <color rgb="004A4A4A"/>
      <sz val="8"/>
    </font>
    <font>
      <name val="Calibri"/>
      <b val="1"/>
      <color rgb="00000000"/>
      <sz val="9"/>
    </font>
    <font>
      <name val="Calibri"/>
      <b val="1"/>
      <color rgb="00FFFFFF"/>
      <sz val="10"/>
    </font>
    <font>
      <name val="Calibri"/>
      <color rgb="00FFFFFF"/>
      <sz val="8"/>
    </font>
    <font>
      <name val="Calibri"/>
      <b val="1"/>
      <color rgb="00FFFFFF"/>
      <sz val="16"/>
    </font>
    <font>
      <name val="Calibri"/>
      <b val="1"/>
      <color rgb="00FFFFFF"/>
      <sz val="13"/>
    </font>
    <font>
      <name val="Calibri"/>
      <color rgb="001A252F"/>
      <sz val="9"/>
    </font>
    <font>
      <name val="Calibri"/>
      <b val="1"/>
      <color rgb="00FFFFFF"/>
      <sz val="12"/>
    </font>
    <font>
      <name val="Calibri"/>
      <b val="1"/>
      <color rgb="00FFFFFF"/>
      <sz val="18"/>
    </font>
    <font>
      <name val="Calibri"/>
      <b val="1"/>
      <color rgb="00FFFFFF"/>
      <sz val="11"/>
    </font>
    <font>
      <name val="Calibri"/>
      <i val="1"/>
      <color rgb="004A4A4A"/>
      <sz val="9"/>
    </font>
    <font>
      <name val="Calibri"/>
      <i val="1"/>
      <color rgb="00000000"/>
      <sz val="9"/>
    </font>
    <font>
      <name val="Calibri"/>
      <i val="1"/>
      <color rgb="001155CC"/>
      <sz val="8"/>
    </font>
  </fonts>
  <fills count="22">
    <fill>
      <patternFill/>
    </fill>
    <fill>
      <patternFill patternType="gray125"/>
    </fill>
    <fill>
      <patternFill patternType="solid">
        <fgColor rgb="00640394"/>
        <bgColor rgb="00640394"/>
      </patternFill>
    </fill>
    <fill>
      <patternFill patternType="solid">
        <fgColor rgb="00A04000"/>
        <bgColor rgb="00A04000"/>
      </patternFill>
    </fill>
    <fill>
      <patternFill patternType="solid">
        <fgColor rgb="00D4870A"/>
        <bgColor rgb="00D4870A"/>
      </patternFill>
    </fill>
    <fill>
      <patternFill patternType="solid">
        <fgColor rgb="001A6B3A"/>
        <bgColor rgb="001A6B3A"/>
      </patternFill>
    </fill>
    <fill>
      <patternFill patternType="solid">
        <fgColor rgb="00154360"/>
        <bgColor rgb="00154360"/>
      </patternFill>
    </fill>
    <fill>
      <patternFill patternType="solid">
        <fgColor rgb="007B241C"/>
        <bgColor rgb="007B241C"/>
      </patternFill>
    </fill>
    <fill>
      <patternFill patternType="solid">
        <fgColor rgb="001E8449"/>
        <bgColor rgb="001E8449"/>
      </patternFill>
    </fill>
    <fill>
      <patternFill patternType="solid">
        <fgColor rgb="00B03A2E"/>
        <bgColor rgb="00B03A2E"/>
      </patternFill>
    </fill>
    <fill>
      <patternFill patternType="solid">
        <fgColor rgb="00FFFFFF"/>
        <bgColor rgb="00FFFFFF"/>
      </patternFill>
    </fill>
    <fill>
      <patternFill patternType="solid">
        <fgColor rgb="008A2BD0"/>
        <bgColor rgb="008A2BD0"/>
      </patternFill>
    </fill>
    <fill>
      <patternFill patternType="solid">
        <fgColor rgb="007D3C98"/>
        <bgColor rgb="007D3C98"/>
      </patternFill>
    </fill>
    <fill>
      <patternFill patternType="solid">
        <fgColor rgb="00F2F3F4"/>
        <bgColor rgb="00F2F3F4"/>
      </patternFill>
    </fill>
    <fill>
      <patternFill patternType="solid">
        <fgColor rgb="002471A3"/>
        <bgColor rgb="002471A3"/>
      </patternFill>
    </fill>
    <fill>
      <patternFill patternType="solid">
        <fgColor rgb="00A957E8"/>
        <bgColor rgb="00A957E8"/>
      </patternFill>
    </fill>
    <fill>
      <patternFill patternType="solid">
        <fgColor rgb="00C98CFF"/>
        <bgColor rgb="00C98CFF"/>
      </patternFill>
    </fill>
    <fill>
      <patternFill patternType="solid">
        <fgColor rgb="000E6655"/>
        <bgColor rgb="000E6655"/>
      </patternFill>
    </fill>
    <fill>
      <patternFill patternType="solid">
        <fgColor rgb="0052BE80"/>
        <bgColor rgb="0052BE80"/>
      </patternFill>
    </fill>
    <fill>
      <patternFill patternType="solid">
        <fgColor rgb="00EEF2F7"/>
        <bgColor rgb="00EEF2F7"/>
      </patternFill>
    </fill>
    <fill>
      <patternFill patternType="solid">
        <fgColor rgb="00F8F9FA"/>
        <bgColor rgb="00F8F9FA"/>
      </patternFill>
    </fill>
    <fill>
      <patternFill patternType="solid">
        <fgColor rgb="00E8EAED"/>
        <bgColor rgb="00E8EAED"/>
      </patternFill>
    </fill>
  </fills>
  <borders count="19">
    <border>
      <left/>
      <right/>
      <top/>
      <bottom/>
      <diagonal/>
    </border>
    <border>
      <left style="medium"/>
      <right style="thin"/>
      <top style="medium"/>
      <bottom style="medium"/>
    </border>
    <border>
      <left style="thin"/>
      <right style="thin"/>
      <top style="medium"/>
      <bottom style="medium"/>
    </border>
    <border>
      <left style="thin"/>
      <right style="medium"/>
      <top style="medium"/>
      <bottom style="medium"/>
    </border>
    <border>
      <left style="medium"/>
      <right style="medium"/>
      <top style="medium"/>
      <bottom style="medium"/>
    </border>
    <border>
      <left style="thin"/>
      <right style="thin"/>
      <top style="thin"/>
      <bottom style="thin"/>
    </border>
    <border>
      <left style="medium"/>
      <right style="thin"/>
      <top style="medium"/>
      <bottom style="thin"/>
    </border>
    <border>
      <left style="thin"/>
      <right style="thin"/>
      <top style="medium"/>
      <bottom style="thin"/>
    </border>
    <border>
      <left style="thin"/>
      <right style="medium"/>
      <top style="medium"/>
      <bottom style="thin"/>
    </border>
    <border>
      <left style="medium"/>
      <right style="thin"/>
      <top style="thin"/>
      <bottom style="thin"/>
    </border>
    <border>
      <left style="thin"/>
      <right style="medium"/>
      <top style="thin"/>
      <bottom style="thin"/>
    </border>
    <border>
      <left style="medium"/>
      <right style="thin"/>
      <top style="thin"/>
      <bottom style="medium"/>
    </border>
    <border>
      <left style="thin"/>
      <right style="thin"/>
      <top style="thin"/>
      <bottom style="medium"/>
    </border>
    <border>
      <left style="thin"/>
      <right style="medium"/>
      <top style="thin"/>
      <bottom style="medium"/>
    </border>
    <border>
      <left style="medium"/>
      <right style="medium"/>
      <top style="medium"/>
      <bottom style="thin"/>
    </border>
    <border>
      <left style="medium"/>
      <right style="medium"/>
      <top style="thin"/>
      <bottom style="medium"/>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210">
    <xf numFmtId="0" fontId="0" fillId="0" borderId="0" pivotButton="0" quotePrefix="0" xfId="0"/>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2" fillId="2" borderId="1" applyAlignment="1" pivotButton="0" quotePrefix="0" xfId="0">
      <alignment horizontal="center" vertical="center"/>
    </xf>
    <xf numFmtId="0" fontId="3" fillId="3" borderId="1"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3" borderId="1" applyAlignment="1" pivotButton="0" quotePrefix="0" xfId="0">
      <alignment horizontal="center" vertical="center"/>
    </xf>
    <xf numFmtId="0" fontId="5" fillId="7" borderId="1" applyAlignment="1" pivotButton="0" quotePrefix="0" xfId="0">
      <alignment horizontal="center" vertical="center"/>
    </xf>
    <xf numFmtId="0" fontId="5" fillId="4" borderId="1" applyAlignment="1" pivotButton="0" quotePrefix="0" xfId="0">
      <alignment horizontal="center" vertical="center"/>
    </xf>
    <xf numFmtId="0" fontId="5" fillId="8" borderId="1" applyAlignment="1" pivotButton="0" quotePrefix="0" xfId="0">
      <alignment horizontal="center" vertical="center"/>
    </xf>
    <xf numFmtId="0" fontId="5" fillId="9" borderId="1" applyAlignment="1" pivotButton="0" quotePrefix="0" xfId="0">
      <alignment horizontal="center" vertical="center"/>
    </xf>
    <xf numFmtId="0" fontId="5" fillId="2" borderId="1" applyAlignment="1" pivotButton="0" quotePrefix="0" xfId="0">
      <alignment horizontal="center" vertical="center"/>
    </xf>
    <xf numFmtId="0" fontId="6" fillId="2" borderId="4" applyAlignment="1" pivotButton="0" quotePrefix="0" xfId="0">
      <alignment horizontal="center" vertical="center"/>
    </xf>
    <xf numFmtId="0" fontId="5" fillId="2" borderId="4" applyAlignment="1" pivotButton="0" quotePrefix="0" xfId="0">
      <alignment horizontal="center" vertical="center" wrapText="1"/>
    </xf>
    <xf numFmtId="0" fontId="5" fillId="2" borderId="4" applyAlignment="1" pivotButton="0" quotePrefix="0" xfId="0">
      <alignment horizontal="left" vertical="center" wrapText="1"/>
    </xf>
    <xf numFmtId="0" fontId="7" fillId="10" borderId="5" applyAlignment="1" pivotButton="0" quotePrefix="0" xfId="0">
      <alignment horizontal="center" vertical="center"/>
    </xf>
    <xf numFmtId="0" fontId="6" fillId="11" borderId="5" applyAlignment="1" pivotButton="0" quotePrefix="0" xfId="0">
      <alignment horizontal="center" vertical="center" wrapText="1"/>
    </xf>
    <xf numFmtId="0" fontId="8" fillId="10" borderId="5" applyAlignment="1" pivotButton="0" quotePrefix="0" xfId="0">
      <alignment horizontal="left" vertical="center"/>
    </xf>
    <xf numFmtId="164" fontId="4" fillId="4" borderId="5" applyAlignment="1" pivotButton="0" quotePrefix="0" xfId="0">
      <alignment horizontal="center" vertical="center"/>
    </xf>
    <xf numFmtId="0" fontId="9" fillId="10" borderId="5" applyAlignment="1" pivotButton="0" quotePrefix="0" xfId="0">
      <alignment horizontal="center" vertical="center"/>
    </xf>
    <xf numFmtId="0" fontId="10" fillId="10" borderId="5" applyAlignment="1" pivotButton="0" quotePrefix="0" xfId="0">
      <alignment horizontal="left" vertical="center" wrapText="1"/>
    </xf>
    <xf numFmtId="0" fontId="5" fillId="4" borderId="5" applyAlignment="1" pivotButton="0" quotePrefix="0" xfId="0">
      <alignment horizontal="center" vertical="center"/>
    </xf>
    <xf numFmtId="0" fontId="9" fillId="10" borderId="5" applyAlignment="1" pivotButton="0" quotePrefix="0" xfId="0">
      <alignment horizontal="left" vertical="center" wrapText="1"/>
    </xf>
    <xf numFmtId="0" fontId="11" fillId="10" borderId="5" applyAlignment="1" pivotButton="0" quotePrefix="0" xfId="0">
      <alignment horizontal="center" vertical="center"/>
    </xf>
    <xf numFmtId="0" fontId="6" fillId="12" borderId="5" applyAlignment="1" pivotButton="0" quotePrefix="0" xfId="0">
      <alignment horizontal="center" vertical="center"/>
    </xf>
    <xf numFmtId="0" fontId="7" fillId="13" borderId="5" applyAlignment="1" pivotButton="0" quotePrefix="0" xfId="0">
      <alignment horizontal="center" vertical="center"/>
    </xf>
    <xf numFmtId="0" fontId="8" fillId="13" borderId="5" applyAlignment="1" pivotButton="0" quotePrefix="0" xfId="0">
      <alignment horizontal="left" vertical="center"/>
    </xf>
    <xf numFmtId="3" fontId="4" fillId="8" borderId="5" applyAlignment="1" pivotButton="0" quotePrefix="0" xfId="0">
      <alignment horizontal="center" vertical="center"/>
    </xf>
    <xf numFmtId="0" fontId="9" fillId="13" borderId="5" applyAlignment="1" pivotButton="0" quotePrefix="0" xfId="0">
      <alignment horizontal="center" vertical="center"/>
    </xf>
    <xf numFmtId="0" fontId="10" fillId="13" borderId="5" applyAlignment="1" pivotButton="0" quotePrefix="0" xfId="0">
      <alignment horizontal="left" vertical="center" wrapText="1"/>
    </xf>
    <xf numFmtId="0" fontId="5" fillId="8" borderId="5" applyAlignment="1" pivotButton="0" quotePrefix="0" xfId="0">
      <alignment horizontal="center" vertical="center"/>
    </xf>
    <xf numFmtId="0" fontId="9" fillId="13" borderId="5" applyAlignment="1" pivotButton="0" quotePrefix="0" xfId="0">
      <alignment horizontal="left" vertical="center" wrapText="1"/>
    </xf>
    <xf numFmtId="0" fontId="11" fillId="13" borderId="5" applyAlignment="1" pivotButton="0" quotePrefix="0" xfId="0">
      <alignment horizontal="center" vertical="center"/>
    </xf>
    <xf numFmtId="0" fontId="6" fillId="14" borderId="5" applyAlignment="1" pivotButton="0" quotePrefix="0" xfId="0">
      <alignment horizontal="center" vertical="center"/>
    </xf>
    <xf numFmtId="165" fontId="4" fillId="9" borderId="5" applyAlignment="1" pivotButton="0" quotePrefix="0" xfId="0">
      <alignment horizontal="center" vertical="center"/>
    </xf>
    <xf numFmtId="0" fontId="5" fillId="9" borderId="5" applyAlignment="1" pivotButton="0" quotePrefix="0" xfId="0">
      <alignment horizontal="center" vertical="center"/>
    </xf>
    <xf numFmtId="0" fontId="6" fillId="15" borderId="5" applyAlignment="1" pivotButton="0" quotePrefix="0" xfId="0">
      <alignment horizontal="center" vertical="center" wrapText="1"/>
    </xf>
    <xf numFmtId="166" fontId="4" fillId="4" borderId="5" applyAlignment="1" pivotButton="0" quotePrefix="0" xfId="0">
      <alignment horizontal="center" vertical="center"/>
    </xf>
    <xf numFmtId="166" fontId="4" fillId="9" borderId="5" applyAlignment="1" pivotButton="0" quotePrefix="0" xfId="0">
      <alignment horizontal="center" vertical="center"/>
    </xf>
    <xf numFmtId="0" fontId="6" fillId="16" borderId="5" applyAlignment="1" pivotButton="0" quotePrefix="0" xfId="0">
      <alignment horizontal="center" vertical="center" wrapText="1"/>
    </xf>
    <xf numFmtId="167" fontId="4" fillId="4" borderId="5" applyAlignment="1" pivotButton="0" quotePrefix="0" xfId="0">
      <alignment horizontal="center" vertical="center"/>
    </xf>
    <xf numFmtId="167" fontId="4" fillId="8" borderId="5" applyAlignment="1" pivotButton="0" quotePrefix="0" xfId="0">
      <alignment horizontal="center" vertical="center"/>
    </xf>
    <xf numFmtId="167" fontId="4" fillId="9" borderId="5" applyAlignment="1" pivotButton="0" quotePrefix="0" xfId="0">
      <alignment horizontal="center" vertical="center"/>
    </xf>
    <xf numFmtId="0" fontId="6" fillId="17" borderId="5" applyAlignment="1" pivotButton="0" quotePrefix="0" xfId="0">
      <alignment horizontal="center" vertical="center" wrapText="1"/>
    </xf>
    <xf numFmtId="166" fontId="4" fillId="8" borderId="5" applyAlignment="1" pivotButton="0" quotePrefix="0" xfId="0">
      <alignment horizontal="center" vertical="center"/>
    </xf>
    <xf numFmtId="0" fontId="6" fillId="17" borderId="5" applyAlignment="1" pivotButton="0" quotePrefix="0" xfId="0">
      <alignment horizontal="center" vertical="center"/>
    </xf>
    <xf numFmtId="168" fontId="4" fillId="4" borderId="5" applyAlignment="1" pivotButton="0" quotePrefix="0" xfId="0">
      <alignment horizontal="center" vertical="center"/>
    </xf>
    <xf numFmtId="169" fontId="4" fillId="4" borderId="5" applyAlignment="1" pivotButton="0" quotePrefix="0" xfId="0">
      <alignment horizontal="center" vertical="center"/>
    </xf>
    <xf numFmtId="164" fontId="4" fillId="9" borderId="5" applyAlignment="1" pivotButton="0" quotePrefix="0" xfId="0">
      <alignment horizontal="center" vertical="center"/>
    </xf>
    <xf numFmtId="0" fontId="6" fillId="7" borderId="1" applyAlignment="1" pivotButton="0" quotePrefix="0" xfId="0">
      <alignment horizontal="center" vertical="center"/>
    </xf>
    <xf numFmtId="0" fontId="5" fillId="2" borderId="1" applyAlignment="1" pivotButton="0" quotePrefix="0" xfId="0">
      <alignment horizontal="left" vertical="center"/>
    </xf>
    <xf numFmtId="0" fontId="5" fillId="3" borderId="6" applyAlignment="1" pivotButton="0" quotePrefix="0" xfId="0">
      <alignment horizontal="center" vertical="center"/>
    </xf>
    <xf numFmtId="0" fontId="5" fillId="3" borderId="7" applyAlignment="1" pivotButton="0" quotePrefix="0" xfId="0">
      <alignment horizontal="center" vertical="center"/>
    </xf>
    <xf numFmtId="0" fontId="0" fillId="0" borderId="7" pivotButton="0" quotePrefix="0" xfId="0"/>
    <xf numFmtId="0" fontId="0" fillId="0" borderId="8" pivotButton="0" quotePrefix="0" xfId="0"/>
    <xf numFmtId="0" fontId="11" fillId="10" borderId="9" applyAlignment="1" pivotButton="0" quotePrefix="0" xfId="0">
      <alignment horizontal="center" vertical="center"/>
    </xf>
    <xf numFmtId="0" fontId="12" fillId="10" borderId="5" applyAlignment="1" pivotButton="0" quotePrefix="0" xfId="0">
      <alignment horizontal="left" vertical="center"/>
    </xf>
    <xf numFmtId="0" fontId="0" fillId="0" borderId="5" pivotButton="0" quotePrefix="0" xfId="0"/>
    <xf numFmtId="0" fontId="13" fillId="8" borderId="5" applyAlignment="1" pivotButton="0" quotePrefix="0" xfId="0">
      <alignment horizontal="center" vertical="center"/>
    </xf>
    <xf numFmtId="0" fontId="0" fillId="0" borderId="10" pivotButton="0" quotePrefix="0" xfId="0"/>
    <xf numFmtId="0" fontId="11" fillId="13" borderId="9" applyAlignment="1" pivotButton="0" quotePrefix="0" xfId="0">
      <alignment horizontal="center" vertical="center"/>
    </xf>
    <xf numFmtId="0" fontId="12" fillId="13" borderId="5" applyAlignment="1" pivotButton="0" quotePrefix="0" xfId="0">
      <alignment horizontal="left" vertical="center"/>
    </xf>
    <xf numFmtId="0" fontId="13" fillId="18" borderId="5" applyAlignment="1" pivotButton="0" quotePrefix="0" xfId="0">
      <alignment horizontal="center" vertical="center"/>
    </xf>
    <xf numFmtId="0" fontId="10" fillId="13" borderId="5" applyAlignment="1" pivotButton="0" quotePrefix="0" xfId="0">
      <alignment horizontal="left" vertical="center"/>
    </xf>
    <xf numFmtId="0" fontId="10" fillId="10" borderId="5" applyAlignment="1" pivotButton="0" quotePrefix="0" xfId="0">
      <alignment horizontal="left" vertical="center"/>
    </xf>
    <xf numFmtId="0" fontId="13" fillId="9" borderId="5" applyAlignment="1" pivotButton="0" quotePrefix="0" xfId="0">
      <alignment horizontal="center" vertical="center"/>
    </xf>
    <xf numFmtId="0" fontId="11" fillId="10" borderId="11" applyAlignment="1" pivotButton="0" quotePrefix="0" xfId="0">
      <alignment horizontal="center" vertical="center"/>
    </xf>
    <xf numFmtId="0" fontId="10" fillId="10" borderId="12" applyAlignment="1" pivotButton="0" quotePrefix="0" xfId="0">
      <alignment horizontal="left" vertical="center"/>
    </xf>
    <xf numFmtId="0" fontId="0" fillId="0" borderId="12" pivotButton="0" quotePrefix="0" xfId="0"/>
    <xf numFmtId="0" fontId="13" fillId="9" borderId="12" applyAlignment="1" pivotButton="0" quotePrefix="0" xfId="0">
      <alignment horizontal="center" vertical="center"/>
    </xf>
    <xf numFmtId="0" fontId="5" fillId="9" borderId="12" applyAlignment="1" pivotButton="0" quotePrefix="0" xfId="0">
      <alignment horizontal="center" vertical="center"/>
    </xf>
    <xf numFmtId="0" fontId="0" fillId="0" borderId="13" pivotButton="0" quotePrefix="0" xfId="0"/>
    <xf numFmtId="0" fontId="6" fillId="2" borderId="1" applyAlignment="1" pivotButton="0" quotePrefix="0" xfId="0">
      <alignment horizontal="center" vertical="center"/>
    </xf>
    <xf numFmtId="0" fontId="14" fillId="8" borderId="1" applyAlignment="1" pivotButton="0" quotePrefix="0" xfId="0">
      <alignment horizontal="center" vertical="center"/>
    </xf>
    <xf numFmtId="0" fontId="6" fillId="3" borderId="1" applyAlignment="1" pivotButton="0" quotePrefix="0" xfId="0">
      <alignment horizontal="center" vertical="center"/>
    </xf>
    <xf numFmtId="0" fontId="5" fillId="9" borderId="1" applyAlignment="1" pivotButton="0" quotePrefix="0" xfId="0">
      <alignment horizontal="left" vertical="center"/>
    </xf>
    <xf numFmtId="0" fontId="15" fillId="11" borderId="1" applyAlignment="1" pivotButton="0" quotePrefix="0" xfId="0">
      <alignment horizontal="center" vertical="center"/>
    </xf>
    <xf numFmtId="0" fontId="16" fillId="11" borderId="1" applyAlignment="1" pivotButton="0" quotePrefix="0" xfId="0">
      <alignment horizontal="left" vertical="center"/>
    </xf>
    <xf numFmtId="164" fontId="3" fillId="4" borderId="6" applyAlignment="1" pivotButton="0" quotePrefix="0" xfId="0">
      <alignment horizontal="center" vertical="center"/>
    </xf>
    <xf numFmtId="0" fontId="16" fillId="4" borderId="14" applyAlignment="1" pivotButton="0" quotePrefix="0" xfId="0">
      <alignment horizontal="center" vertical="center"/>
    </xf>
    <xf numFmtId="0" fontId="5" fillId="11" borderId="5" applyAlignment="1" pivotButton="0" quotePrefix="0" xfId="0">
      <alignment horizontal="left" vertical="center"/>
    </xf>
    <xf numFmtId="0" fontId="0" fillId="0" borderId="11" pivotButton="0" quotePrefix="0" xfId="0"/>
    <xf numFmtId="0" fontId="0" fillId="0" borderId="15" pivotButton="0" quotePrefix="0" xfId="0"/>
    <xf numFmtId="0" fontId="17" fillId="19" borderId="1" applyAlignment="1" pivotButton="0" quotePrefix="0" xfId="0">
      <alignment horizontal="left" vertical="center"/>
    </xf>
    <xf numFmtId="0" fontId="5" fillId="11" borderId="4" applyAlignment="1" pivotButton="0" quotePrefix="0" xfId="0">
      <alignment horizontal="center" vertical="center"/>
    </xf>
    <xf numFmtId="0" fontId="5" fillId="11" borderId="4" applyAlignment="1" pivotButton="0" quotePrefix="0" xfId="0">
      <alignment horizontal="left" vertical="center"/>
    </xf>
    <xf numFmtId="0" fontId="7" fillId="10" borderId="6" applyAlignment="1" pivotButton="0" quotePrefix="0" xfId="0">
      <alignment horizontal="center" vertical="center"/>
    </xf>
    <xf numFmtId="164" fontId="12" fillId="10" borderId="7" applyAlignment="1" pivotButton="0" quotePrefix="0" xfId="0">
      <alignment horizontal="center" vertical="center"/>
    </xf>
    <xf numFmtId="0" fontId="6" fillId="4" borderId="7" applyAlignment="1" pivotButton="0" quotePrefix="0" xfId="0">
      <alignment horizontal="center" vertical="center"/>
    </xf>
    <xf numFmtId="0" fontId="9" fillId="10" borderId="8" applyAlignment="1" pivotButton="0" quotePrefix="0" xfId="0">
      <alignment horizontal="left" vertical="center" wrapText="1"/>
    </xf>
    <xf numFmtId="0" fontId="7" fillId="13" borderId="9" applyAlignment="1" pivotButton="0" quotePrefix="0" xfId="0">
      <alignment horizontal="center" vertical="center"/>
    </xf>
    <xf numFmtId="164" fontId="12" fillId="13" borderId="5" applyAlignment="1" pivotButton="0" quotePrefix="0" xfId="0">
      <alignment horizontal="center" vertical="center"/>
    </xf>
    <xf numFmtId="0" fontId="6" fillId="4" borderId="5" applyAlignment="1" pivotButton="0" quotePrefix="0" xfId="0">
      <alignment horizontal="center" vertical="center"/>
    </xf>
    <xf numFmtId="0" fontId="9" fillId="13" borderId="10" applyAlignment="1" pivotButton="0" quotePrefix="0" xfId="0">
      <alignment horizontal="left" vertical="center" wrapText="1"/>
    </xf>
    <xf numFmtId="0" fontId="7" fillId="10" borderId="9" applyAlignment="1" pivotButton="0" quotePrefix="0" xfId="0">
      <alignment horizontal="center" vertical="center"/>
    </xf>
    <xf numFmtId="164" fontId="12" fillId="10" borderId="5" applyAlignment="1" pivotButton="0" quotePrefix="0" xfId="0">
      <alignment horizontal="center" vertical="center"/>
    </xf>
    <xf numFmtId="0" fontId="9" fillId="10" borderId="10" applyAlignment="1" pivotButton="0" quotePrefix="0" xfId="0">
      <alignment horizontal="left" vertical="center" wrapText="1"/>
    </xf>
    <xf numFmtId="0" fontId="7" fillId="13" borderId="11" applyAlignment="1" pivotButton="0" quotePrefix="0" xfId="0">
      <alignment horizontal="center" vertical="center"/>
    </xf>
    <xf numFmtId="164" fontId="12" fillId="13" borderId="12" applyAlignment="1" pivotButton="0" quotePrefix="0" xfId="0">
      <alignment horizontal="center" vertical="center"/>
    </xf>
    <xf numFmtId="0" fontId="6" fillId="4" borderId="12" applyAlignment="1" pivotButton="0" quotePrefix="0" xfId="0">
      <alignment horizontal="center" vertical="center"/>
    </xf>
    <xf numFmtId="0" fontId="9" fillId="13" borderId="13" applyAlignment="1" pivotButton="0" quotePrefix="0" xfId="0">
      <alignment horizontal="left" vertical="center" wrapText="1"/>
    </xf>
    <xf numFmtId="3" fontId="3" fillId="8" borderId="6" applyAlignment="1" pivotButton="0" quotePrefix="0" xfId="0">
      <alignment horizontal="center" vertical="center"/>
    </xf>
    <xf numFmtId="0" fontId="16" fillId="8" borderId="14" applyAlignment="1" pivotButton="0" quotePrefix="0" xfId="0">
      <alignment horizontal="center" vertical="center"/>
    </xf>
    <xf numFmtId="3" fontId="12" fillId="10" borderId="7" applyAlignment="1" pivotButton="0" quotePrefix="0" xfId="0">
      <alignment horizontal="center" vertical="center"/>
    </xf>
    <xf numFmtId="0" fontId="6" fillId="8" borderId="7" applyAlignment="1" pivotButton="0" quotePrefix="0" xfId="0">
      <alignment horizontal="center" vertical="center"/>
    </xf>
    <xf numFmtId="3" fontId="12" fillId="13" borderId="5" applyAlignment="1" pivotButton="0" quotePrefix="0" xfId="0">
      <alignment horizontal="center" vertical="center"/>
    </xf>
    <xf numFmtId="0" fontId="6" fillId="8" borderId="5" applyAlignment="1" pivotButton="0" quotePrefix="0" xfId="0">
      <alignment horizontal="center" vertical="center"/>
    </xf>
    <xf numFmtId="3" fontId="12" fillId="10" borderId="5" applyAlignment="1" pivotButton="0" quotePrefix="0" xfId="0">
      <alignment horizontal="center" vertical="center"/>
    </xf>
    <xf numFmtId="3" fontId="12" fillId="13" borderId="12" applyAlignment="1" pivotButton="0" quotePrefix="0" xfId="0">
      <alignment horizontal="center" vertical="center"/>
    </xf>
    <xf numFmtId="0" fontId="6" fillId="8" borderId="12" applyAlignment="1" pivotButton="0" quotePrefix="0" xfId="0">
      <alignment horizontal="center" vertical="center"/>
    </xf>
    <xf numFmtId="165" fontId="3" fillId="9" borderId="6" applyAlignment="1" pivotButton="0" quotePrefix="0" xfId="0">
      <alignment horizontal="center" vertical="center"/>
    </xf>
    <xf numFmtId="0" fontId="16" fillId="9" borderId="14" applyAlignment="1" pivotButton="0" quotePrefix="0" xfId="0">
      <alignment horizontal="center" vertical="center"/>
    </xf>
    <xf numFmtId="165" fontId="12" fillId="10" borderId="7" applyAlignment="1" pivotButton="0" quotePrefix="0" xfId="0">
      <alignment horizontal="center" vertical="center"/>
    </xf>
    <xf numFmtId="0" fontId="6" fillId="9" borderId="7" applyAlignment="1" pivotButton="0" quotePrefix="0" xfId="0">
      <alignment horizontal="center" vertical="center"/>
    </xf>
    <xf numFmtId="165" fontId="12" fillId="13" borderId="5" applyAlignment="1" pivotButton="0" quotePrefix="0" xfId="0">
      <alignment horizontal="center" vertical="center"/>
    </xf>
    <xf numFmtId="165" fontId="12" fillId="10" borderId="5" applyAlignment="1" pivotButton="0" quotePrefix="0" xfId="0">
      <alignment horizontal="center" vertical="center"/>
    </xf>
    <xf numFmtId="0" fontId="6" fillId="9" borderId="5" applyAlignment="1" pivotButton="0" quotePrefix="0" xfId="0">
      <alignment horizontal="center" vertical="center"/>
    </xf>
    <xf numFmtId="165" fontId="12" fillId="13" borderId="12" applyAlignment="1" pivotButton="0" quotePrefix="0" xfId="0">
      <alignment horizontal="center" vertical="center"/>
    </xf>
    <xf numFmtId="0" fontId="18" fillId="2" borderId="1" applyAlignment="1" pivotButton="0" quotePrefix="0" xfId="0">
      <alignment horizontal="left" vertical="center"/>
    </xf>
    <xf numFmtId="0" fontId="15" fillId="15" borderId="1" applyAlignment="1" pivotButton="0" quotePrefix="0" xfId="0">
      <alignment horizontal="center" vertical="center"/>
    </xf>
    <xf numFmtId="0" fontId="16" fillId="15" borderId="1" applyAlignment="1" pivotButton="0" quotePrefix="0" xfId="0">
      <alignment horizontal="left" vertical="center"/>
    </xf>
    <xf numFmtId="166" fontId="3" fillId="4" borderId="6" applyAlignment="1" pivotButton="0" quotePrefix="0" xfId="0">
      <alignment horizontal="center" vertical="center"/>
    </xf>
    <xf numFmtId="0" fontId="5" fillId="15" borderId="5" applyAlignment="1" pivotButton="0" quotePrefix="0" xfId="0">
      <alignment horizontal="left" vertical="center"/>
    </xf>
    <xf numFmtId="0" fontId="5" fillId="15" borderId="4" applyAlignment="1" pivotButton="0" quotePrefix="0" xfId="0">
      <alignment horizontal="center" vertical="center"/>
    </xf>
    <xf numFmtId="0" fontId="5" fillId="15" borderId="4" applyAlignment="1" pivotButton="0" quotePrefix="0" xfId="0">
      <alignment horizontal="left" vertical="center"/>
    </xf>
    <xf numFmtId="166" fontId="12" fillId="10" borderId="7" applyAlignment="1" pivotButton="0" quotePrefix="0" xfId="0">
      <alignment horizontal="center" vertical="center"/>
    </xf>
    <xf numFmtId="166" fontId="12" fillId="13" borderId="5" applyAlignment="1" pivotButton="0" quotePrefix="0" xfId="0">
      <alignment horizontal="center" vertical="center"/>
    </xf>
    <xf numFmtId="166" fontId="12" fillId="10" borderId="5" applyAlignment="1" pivotButton="0" quotePrefix="0" xfId="0">
      <alignment horizontal="center" vertical="center"/>
    </xf>
    <xf numFmtId="166" fontId="12" fillId="13" borderId="12" applyAlignment="1" pivotButton="0" quotePrefix="0" xfId="0">
      <alignment horizontal="center" vertical="center"/>
    </xf>
    <xf numFmtId="0" fontId="6" fillId="9" borderId="12" applyAlignment="1" pivotButton="0" quotePrefix="0" xfId="0">
      <alignment horizontal="center" vertical="center"/>
    </xf>
    <xf numFmtId="166" fontId="3" fillId="9" borderId="6" applyAlignment="1" pivotButton="0" quotePrefix="0" xfId="0">
      <alignment horizontal="center" vertical="center"/>
    </xf>
    <xf numFmtId="0" fontId="15" fillId="16" borderId="1" applyAlignment="1" pivotButton="0" quotePrefix="0" xfId="0">
      <alignment horizontal="center" vertical="center"/>
    </xf>
    <xf numFmtId="0" fontId="16" fillId="16" borderId="1" applyAlignment="1" pivotButton="0" quotePrefix="0" xfId="0">
      <alignment horizontal="left" vertical="center"/>
    </xf>
    <xf numFmtId="167" fontId="3" fillId="4" borderId="6" applyAlignment="1" pivotButton="0" quotePrefix="0" xfId="0">
      <alignment horizontal="center" vertical="center"/>
    </xf>
    <xf numFmtId="0" fontId="5" fillId="16" borderId="5" applyAlignment="1" pivotButton="0" quotePrefix="0" xfId="0">
      <alignment horizontal="left" vertical="center"/>
    </xf>
    <xf numFmtId="0" fontId="5" fillId="16" borderId="4" applyAlignment="1" pivotButton="0" quotePrefix="0" xfId="0">
      <alignment horizontal="center" vertical="center"/>
    </xf>
    <xf numFmtId="0" fontId="5" fillId="16" borderId="4" applyAlignment="1" pivotButton="0" quotePrefix="0" xfId="0">
      <alignment horizontal="left" vertical="center"/>
    </xf>
    <xf numFmtId="0" fontId="7" fillId="10" borderId="1" applyAlignment="1" pivotButton="0" quotePrefix="0" xfId="0">
      <alignment horizontal="center" vertical="center"/>
    </xf>
    <xf numFmtId="167" fontId="12" fillId="10" borderId="2" applyAlignment="1" pivotButton="0" quotePrefix="0" xfId="0">
      <alignment horizontal="center" vertical="center"/>
    </xf>
    <xf numFmtId="0" fontId="6" fillId="4" borderId="2" applyAlignment="1" pivotButton="0" quotePrefix="0" xfId="0">
      <alignment horizontal="center" vertical="center"/>
    </xf>
    <xf numFmtId="0" fontId="9" fillId="10" borderId="3" applyAlignment="1" pivotButton="0" quotePrefix="0" xfId="0">
      <alignment horizontal="left" vertical="center" wrapText="1"/>
    </xf>
    <xf numFmtId="167" fontId="3" fillId="8" borderId="6" applyAlignment="1" pivotButton="0" quotePrefix="0" xfId="0">
      <alignment horizontal="center" vertical="center"/>
    </xf>
    <xf numFmtId="0" fontId="6" fillId="8" borderId="2" applyAlignment="1" pivotButton="0" quotePrefix="0" xfId="0">
      <alignment horizontal="center" vertical="center"/>
    </xf>
    <xf numFmtId="167" fontId="3" fillId="9" borderId="6" applyAlignment="1" pivotButton="0" quotePrefix="0" xfId="0">
      <alignment horizontal="center" vertical="center"/>
    </xf>
    <xf numFmtId="167" fontId="12" fillId="10" borderId="7" applyAlignment="1" pivotButton="0" quotePrefix="0" xfId="0">
      <alignment horizontal="center" vertical="center"/>
    </xf>
    <xf numFmtId="167" fontId="12" fillId="13" borderId="5" applyAlignment="1" pivotButton="0" quotePrefix="0" xfId="0">
      <alignment horizontal="center" vertical="center"/>
    </xf>
    <xf numFmtId="167" fontId="12" fillId="10" borderId="5" applyAlignment="1" pivotButton="0" quotePrefix="0" xfId="0">
      <alignment horizontal="center" vertical="center"/>
    </xf>
    <xf numFmtId="167" fontId="12" fillId="13" borderId="12" applyAlignment="1" pivotButton="0" quotePrefix="0" xfId="0">
      <alignment horizontal="center" vertical="center"/>
    </xf>
    <xf numFmtId="0" fontId="15" fillId="17" borderId="1" applyAlignment="1" pivotButton="0" quotePrefix="0" xfId="0">
      <alignment horizontal="center" vertical="center"/>
    </xf>
    <xf numFmtId="0" fontId="16" fillId="17" borderId="1" applyAlignment="1" pivotButton="0" quotePrefix="0" xfId="0">
      <alignment horizontal="left" vertical="center"/>
    </xf>
    <xf numFmtId="166" fontId="3" fillId="8" borderId="6" applyAlignment="1" pivotButton="0" quotePrefix="0" xfId="0">
      <alignment horizontal="center" vertical="center"/>
    </xf>
    <xf numFmtId="0" fontId="5" fillId="17" borderId="5" applyAlignment="1" pivotButton="0" quotePrefix="0" xfId="0">
      <alignment horizontal="left" vertical="center"/>
    </xf>
    <xf numFmtId="0" fontId="5" fillId="17" borderId="4" applyAlignment="1" pivotButton="0" quotePrefix="0" xfId="0">
      <alignment horizontal="center" vertical="center"/>
    </xf>
    <xf numFmtId="0" fontId="5" fillId="17" borderId="4" applyAlignment="1" pivotButton="0" quotePrefix="0" xfId="0">
      <alignment horizontal="left" vertical="center"/>
    </xf>
    <xf numFmtId="168" fontId="3" fillId="4" borderId="6" applyAlignment="1" pivotButton="0" quotePrefix="0" xfId="0">
      <alignment horizontal="center" vertical="center"/>
    </xf>
    <xf numFmtId="168" fontId="12" fillId="10" borderId="7" applyAlignment="1" pivotButton="0" quotePrefix="0" xfId="0">
      <alignment horizontal="center" vertical="center"/>
    </xf>
    <xf numFmtId="168" fontId="12" fillId="13" borderId="5" applyAlignment="1" pivotButton="0" quotePrefix="0" xfId="0">
      <alignment horizontal="center" vertical="center"/>
    </xf>
    <xf numFmtId="168" fontId="12" fillId="10" borderId="5" applyAlignment="1" pivotButton="0" quotePrefix="0" xfId="0">
      <alignment horizontal="center" vertical="center"/>
    </xf>
    <xf numFmtId="168" fontId="12" fillId="13" borderId="12" applyAlignment="1" pivotButton="0" quotePrefix="0" xfId="0">
      <alignment horizontal="center" vertical="center"/>
    </xf>
    <xf numFmtId="169" fontId="3" fillId="4" borderId="6" applyAlignment="1" pivotButton="0" quotePrefix="0" xfId="0">
      <alignment horizontal="center" vertical="center"/>
    </xf>
    <xf numFmtId="169" fontId="12" fillId="10" borderId="7" applyAlignment="1" pivotButton="0" quotePrefix="0" xfId="0">
      <alignment horizontal="center" vertical="center"/>
    </xf>
    <xf numFmtId="169" fontId="12" fillId="13" borderId="5" applyAlignment="1" pivotButton="0" quotePrefix="0" xfId="0">
      <alignment horizontal="center" vertical="center"/>
    </xf>
    <xf numFmtId="169" fontId="12" fillId="10" borderId="5" applyAlignment="1" pivotButton="0" quotePrefix="0" xfId="0">
      <alignment horizontal="center" vertical="center"/>
    </xf>
    <xf numFmtId="169" fontId="12" fillId="13" borderId="12" applyAlignment="1" pivotButton="0" quotePrefix="0" xfId="0">
      <alignment horizontal="center" vertical="center"/>
    </xf>
    <xf numFmtId="164" fontId="3" fillId="9" borderId="6" applyAlignment="1" pivotButton="0" quotePrefix="0" xfId="0">
      <alignment horizontal="center" vertical="center"/>
    </xf>
    <xf numFmtId="0" fontId="19" fillId="2" borderId="1" applyAlignment="1" pivotButton="0" quotePrefix="0" xfId="0">
      <alignment horizontal="left" vertical="center"/>
    </xf>
    <xf numFmtId="0" fontId="20" fillId="2" borderId="1" applyAlignment="1" pivotButton="0" quotePrefix="0" xfId="0">
      <alignment horizontal="left" vertical="center"/>
    </xf>
    <xf numFmtId="0" fontId="21" fillId="20" borderId="1" applyAlignment="1" pivotButton="0" quotePrefix="0" xfId="0">
      <alignment horizontal="left" vertical="center" wrapText="1"/>
    </xf>
    <xf numFmtId="0" fontId="21" fillId="21" borderId="1" applyAlignment="1" pivotButton="0" quotePrefix="0" xfId="0">
      <alignment horizontal="left" vertical="center"/>
    </xf>
    <xf numFmtId="0" fontId="5" fillId="2" borderId="6" applyAlignment="1" pivotButton="0" quotePrefix="0" xfId="0">
      <alignment horizontal="center" vertical="center"/>
    </xf>
    <xf numFmtId="0" fontId="5" fillId="2" borderId="7" applyAlignment="1" pivotButton="0" quotePrefix="0" xfId="0">
      <alignment horizontal="left" vertical="center"/>
    </xf>
    <xf numFmtId="0" fontId="5" fillId="2" borderId="7" applyAlignment="1" pivotButton="0" quotePrefix="0" xfId="0">
      <alignment horizontal="center" vertical="center"/>
    </xf>
    <xf numFmtId="0" fontId="5" fillId="2" borderId="8" applyAlignment="1" pivotButton="0" quotePrefix="0" xfId="0">
      <alignment horizontal="center" vertical="center"/>
    </xf>
    <xf numFmtId="170" fontId="18" fillId="4" borderId="5" applyAlignment="1" pivotButton="0" quotePrefix="0" xfId="0">
      <alignment horizontal="center" vertical="center"/>
    </xf>
    <xf numFmtId="0" fontId="9" fillId="10" borderId="10" applyAlignment="1" pivotButton="0" quotePrefix="0" xfId="0">
      <alignment horizontal="center" vertical="center"/>
    </xf>
    <xf numFmtId="171" fontId="18" fillId="4" borderId="5" applyAlignment="1" pivotButton="0" quotePrefix="0" xfId="0">
      <alignment horizontal="center" vertical="center"/>
    </xf>
    <xf numFmtId="0" fontId="9" fillId="13" borderId="10" applyAlignment="1" pivotButton="0" quotePrefix="0" xfId="0">
      <alignment horizontal="center" vertical="center"/>
    </xf>
    <xf numFmtId="0" fontId="7" fillId="10" borderId="11" applyAlignment="1" pivotButton="0" quotePrefix="0" xfId="0">
      <alignment horizontal="center" vertical="center"/>
    </xf>
    <xf numFmtId="0" fontId="12" fillId="10" borderId="12" applyAlignment="1" pivotButton="0" quotePrefix="0" xfId="0">
      <alignment horizontal="left" vertical="center"/>
    </xf>
    <xf numFmtId="2" fontId="18" fillId="8" borderId="12" applyAlignment="1" pivotButton="0" quotePrefix="0" xfId="0">
      <alignment horizontal="center" vertical="center"/>
    </xf>
    <xf numFmtId="0" fontId="9" fillId="10" borderId="12" applyAlignment="1" pivotButton="0" quotePrefix="0" xfId="0">
      <alignment horizontal="center" vertical="center"/>
    </xf>
    <xf numFmtId="0" fontId="10" fillId="10" borderId="12" applyAlignment="1" pivotButton="0" quotePrefix="0" xfId="0">
      <alignment horizontal="left" vertical="center" wrapText="1"/>
    </xf>
    <xf numFmtId="0" fontId="9" fillId="10" borderId="13" applyAlignment="1" pivotButton="0" quotePrefix="0" xfId="0">
      <alignment horizontal="center" vertical="center"/>
    </xf>
    <xf numFmtId="0" fontId="4" fillId="8" borderId="1" applyAlignment="1" pivotButton="0" quotePrefix="0" xfId="0">
      <alignment horizontal="center" vertical="center"/>
    </xf>
    <xf numFmtId="0" fontId="20" fillId="2" borderId="6" applyAlignment="1" pivotButton="0" quotePrefix="0" xfId="0">
      <alignment horizontal="left" vertical="center"/>
    </xf>
    <xf numFmtId="0" fontId="0" fillId="0" borderId="9" pivotButton="0" quotePrefix="0" xfId="0"/>
    <xf numFmtId="0" fontId="12" fillId="21" borderId="5" applyAlignment="1" pivotButton="0" quotePrefix="0" xfId="0">
      <alignment horizontal="left" vertical="top"/>
    </xf>
    <xf numFmtId="0" fontId="9" fillId="10" borderId="5" applyAlignment="1" pivotButton="0" quotePrefix="0" xfId="0">
      <alignment horizontal="center" vertical="top"/>
    </xf>
    <xf numFmtId="0" fontId="11" fillId="10" borderId="5" applyAlignment="1" pivotButton="0" quotePrefix="0" xfId="0">
      <alignment horizontal="center" vertical="top"/>
    </xf>
    <xf numFmtId="0" fontId="22" fillId="10" borderId="5" applyAlignment="1" pivotButton="0" quotePrefix="0" xfId="0">
      <alignment horizontal="left" vertical="top" wrapText="1"/>
    </xf>
    <xf numFmtId="0" fontId="23" fillId="10" borderId="10" applyAlignment="1" pivotButton="0" quotePrefix="0" xfId="0">
      <alignment horizontal="left" vertical="top"/>
    </xf>
    <xf numFmtId="0" fontId="9" fillId="13" borderId="5" applyAlignment="1" pivotButton="0" quotePrefix="0" xfId="0">
      <alignment horizontal="center" vertical="top"/>
    </xf>
    <xf numFmtId="0" fontId="11" fillId="13" borderId="5" applyAlignment="1" pivotButton="0" quotePrefix="0" xfId="0">
      <alignment horizontal="center" vertical="top"/>
    </xf>
    <xf numFmtId="0" fontId="22" fillId="13" borderId="5" applyAlignment="1" pivotButton="0" quotePrefix="0" xfId="0">
      <alignment horizontal="left" vertical="top" wrapText="1"/>
    </xf>
    <xf numFmtId="0" fontId="23" fillId="13" borderId="10" applyAlignment="1" pivotButton="0" quotePrefix="0" xfId="0">
      <alignment horizontal="left" vertical="top"/>
    </xf>
    <xf numFmtId="0" fontId="12" fillId="21" borderId="12" applyAlignment="1" pivotButton="0" quotePrefix="0" xfId="0">
      <alignment horizontal="left" vertical="top"/>
    </xf>
    <xf numFmtId="0" fontId="9" fillId="13" borderId="12" applyAlignment="1" pivotButton="0" quotePrefix="0" xfId="0">
      <alignment horizontal="center" vertical="top"/>
    </xf>
    <xf numFmtId="0" fontId="11" fillId="13" borderId="12" applyAlignment="1" pivotButton="0" quotePrefix="0" xfId="0">
      <alignment horizontal="center" vertical="top"/>
    </xf>
    <xf numFmtId="0" fontId="22" fillId="13" borderId="12" applyAlignment="1" pivotButton="0" quotePrefix="0" xfId="0">
      <alignment horizontal="left" vertical="top" wrapText="1"/>
    </xf>
    <xf numFmtId="0" fontId="23" fillId="13" borderId="13" applyAlignment="1" pivotButton="0" quotePrefix="0" xfId="0">
      <alignment horizontal="left" vertical="top"/>
    </xf>
    <xf numFmtId="0" fontId="4" fillId="2" borderId="1" applyAlignment="1" pivotButton="0" quotePrefix="0" xfId="0">
      <alignment horizontal="left" vertical="center"/>
    </xf>
    <xf numFmtId="0" fontId="12" fillId="21" borderId="1" applyAlignment="1" pivotButton="0" quotePrefix="0" xfId="0">
      <alignment horizontal="left" vertical="top"/>
    </xf>
    <xf numFmtId="0" fontId="10" fillId="20" borderId="3" applyAlignment="1" pivotButton="0" quotePrefix="0" xfId="0">
      <alignment horizontal="left" vertical="top" wrapText="1"/>
    </xf>
    <xf numFmtId="0" fontId="20" fillId="16" borderId="1" applyAlignment="1" pivotButton="0" quotePrefix="0" xfId="0">
      <alignment horizontal="left" vertical="center"/>
    </xf>
    <xf numFmtId="0" fontId="20" fillId="11" borderId="1" applyAlignment="1" pivotButton="0" quotePrefix="0" xfId="0">
      <alignment horizontal="left" vertical="center"/>
    </xf>
    <xf numFmtId="0" fontId="20" fillId="15" borderId="1" applyAlignment="1" pivotButton="0" quotePrefix="0" xfId="0">
      <alignment horizontal="left" vertical="center"/>
    </xf>
    <xf numFmtId="0" fontId="20" fillId="17"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style val="2"/>
  <chart>
    <title>
      <tx>
        <rich>
          <a:bodyPr/>
          <a:p>
            <a:pPr>
              <a:defRPr/>
            </a:pPr>
            <a:r>
              <a:t>Unemployment Rate</a:t>
            </a:r>
          </a:p>
        </rich>
      </tx>
    </title>
    <plotArea>
      <lineChart>
        <grouping val="standard"/>
        <ser>
          <idx val="0"/>
          <order val="0"/>
          <tx>
            <strRef>
              <f>'_Chart Data'!B1</f>
            </strRef>
          </tx>
          <spPr>
            <a:ln w="22000">
              <a:solidFill>
                <a:srgbClr val="2980B9"/>
              </a:solidFill>
              <a:prstDash val="solid"/>
            </a:ln>
          </spPr>
          <marker>
            <symbol val="none"/>
            <spPr>
              <a:ln>
                <a:prstDash val="solid"/>
              </a:ln>
            </spPr>
          </marker>
          <cat>
            <numRef>
              <f>'_Chart Data'!$A$2:$A$13</f>
            </numRef>
          </cat>
          <val>
            <numRef>
              <f>'_Chart Data'!$B$2:$B$13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Rate (%)</a:t>
                </a:r>
              </a:p>
            </rich>
          </tx>
        </title>
        <numFmt formatCode="0.0"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Initial Jobless Claims</a:t>
            </a:r>
          </a:p>
        </rich>
      </tx>
    </title>
    <plotArea>
      <lineChart>
        <grouping val="standard"/>
        <ser>
          <idx val="0"/>
          <order val="0"/>
          <tx>
            <strRef>
              <f>'_Chart Data'!E1</f>
            </strRef>
          </tx>
          <spPr>
            <a:ln w="22000">
              <a:solidFill>
                <a:srgbClr val="E67E22"/>
              </a:solidFill>
              <a:prstDash val="solid"/>
            </a:ln>
          </spPr>
          <marker>
            <symbol val="none"/>
            <spPr>
              <a:ln>
                <a:prstDash val="solid"/>
              </a:ln>
            </spPr>
          </marker>
          <cat>
            <numRef>
              <f>'_Chart Data'!$D$2:$D$13</f>
            </numRef>
          </cat>
          <val>
            <numRef>
              <f>'_Chart Data'!$E$2:$E$13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Claims</a:t>
                </a:r>
              </a:p>
            </rich>
          </tx>
        </title>
        <numFmt formatCode="#,##0" sourceLinked="0"/>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Nonfarm Payrolls (MoM k)</a:t>
            </a:r>
          </a:p>
        </rich>
      </tx>
    </title>
    <plotArea>
      <barChart>
        <barDir val="col"/>
        <grouping val="clustered"/>
        <ser>
          <idx val="0"/>
          <order val="0"/>
          <tx>
            <strRef>
              <f>'_Chart Data'!H1</f>
            </strRef>
          </tx>
          <spPr>
            <a:solidFill>
              <a:srgbClr val="27AE60"/>
            </a:solidFill>
            <a:ln>
              <a:prstDash val="solid"/>
            </a:ln>
          </spPr>
          <cat>
            <numRef>
              <f>'_Chart Data'!$G$2:$G$13</f>
            </numRef>
          </cat>
          <val>
            <numRef>
              <f>'_Chart Data'!$H$2:$H$13</f>
            </numRef>
          </val>
        </ser>
        <gapWidth val="150"/>
        <axId val="10"/>
        <axId val="100"/>
      </bar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Thousands</a:t>
                </a:r>
              </a:p>
            </rich>
          </tx>
        </title>
        <numFmt formatCode="+#,##0;-#,##0" sourceLinked="0"/>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CPI  (YoY %)</a:t>
            </a:r>
          </a:p>
        </rich>
      </tx>
    </title>
    <plotArea>
      <lineChart>
        <grouping val="standard"/>
        <ser>
          <idx val="0"/>
          <order val="0"/>
          <tx>
            <strRef>
              <f>'_Chart Data'!K1</f>
            </strRef>
          </tx>
          <spPr>
            <a:ln w="22000">
              <a:solidFill>
                <a:srgbClr val="C0392B"/>
              </a:solidFill>
              <a:prstDash val="solid"/>
            </a:ln>
          </spPr>
          <marker>
            <symbol val="none"/>
            <spPr>
              <a:ln>
                <a:prstDash val="solid"/>
              </a:ln>
            </spPr>
          </marker>
          <cat>
            <numRef>
              <f>'_Chart Data'!$J$2:$J$13</f>
            </numRef>
          </cat>
          <val>
            <numRef>
              <f>'_Chart Data'!$K$2:$K$13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YoY (%)</a:t>
                </a:r>
              </a:p>
            </rich>
          </tx>
        </title>
        <numFmt formatCode="0.00" sourceLinked="0"/>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style val="2"/>
  <chart>
    <title>
      <tx>
        <rich>
          <a:bodyPr/>
          <a:p>
            <a:pPr>
              <a:defRPr/>
            </a:pPr>
            <a:r>
              <a:t>Core CPI  (YoY %)</a:t>
            </a:r>
          </a:p>
        </rich>
      </tx>
    </title>
    <plotArea>
      <lineChart>
        <grouping val="standard"/>
        <ser>
          <idx val="0"/>
          <order val="0"/>
          <tx>
            <strRef>
              <f>'_Chart Data'!N1</f>
            </strRef>
          </tx>
          <spPr>
            <a:ln w="22000">
              <a:solidFill>
                <a:srgbClr val="8E44AD"/>
              </a:solidFill>
              <a:prstDash val="solid"/>
            </a:ln>
          </spPr>
          <marker>
            <symbol val="none"/>
            <spPr>
              <a:ln>
                <a:prstDash val="solid"/>
              </a:ln>
            </spPr>
          </marker>
          <cat>
            <numRef>
              <f>'_Chart Data'!$M$2:$M$13</f>
            </numRef>
          </cat>
          <val>
            <numRef>
              <f>'_Chart Data'!$N$2:$N$13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YoY (%)</a:t>
                </a:r>
              </a:p>
            </rich>
          </tx>
        </title>
        <numFmt formatCode="0.00" sourceLinked="0"/>
        <majorTickMark val="none"/>
        <minorTickMark val="none"/>
        <crossAx val="10"/>
      </valAx>
    </plotArea>
    <plotVisOnly val="1"/>
    <dispBlanksAs val="gap"/>
  </chart>
</chartSpace>
</file>

<file path=xl/charts/chart6.xml><?xml version="1.0" encoding="utf-8"?>
<chartSpace xmlns:a="http://schemas.openxmlformats.org/drawingml/2006/main" xmlns="http://schemas.openxmlformats.org/drawingml/2006/chart">
  <style val="2"/>
  <chart>
    <title>
      <tx>
        <rich>
          <a:bodyPr/>
          <a:p>
            <a:pPr>
              <a:defRPr/>
            </a:pPr>
            <a:r>
              <a:t>PPI — All Commodities  (MoM %)</a:t>
            </a:r>
          </a:p>
        </rich>
      </tx>
    </title>
    <plotArea>
      <lineChart>
        <grouping val="standard"/>
        <ser>
          <idx val="0"/>
          <order val="0"/>
          <tx>
            <strRef>
              <f>'_Chart Data'!Q1</f>
            </strRef>
          </tx>
          <spPr>
            <a:ln w="22000">
              <a:solidFill>
                <a:srgbClr val="7F8C8D"/>
              </a:solidFill>
              <a:prstDash val="solid"/>
            </a:ln>
          </spPr>
          <marker>
            <symbol val="none"/>
            <spPr>
              <a:ln>
                <a:prstDash val="solid"/>
              </a:ln>
            </spPr>
          </marker>
          <cat>
            <numRef>
              <f>'_Chart Data'!$P$2:$P$13</f>
            </numRef>
          </cat>
          <val>
            <numRef>
              <f>'_Chart Data'!$Q$2:$Q$13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MoM (%)</a:t>
                </a:r>
              </a:p>
            </rich>
          </tx>
        </title>
        <numFmt formatCode="0.00" sourceLinked="0"/>
        <majorTickMark val="none"/>
        <minorTickMark val="none"/>
        <crossAx val="10"/>
      </valAx>
    </plotArea>
    <plotVisOnly val="1"/>
    <dispBlanksAs val="gap"/>
  </chart>
</chartSpace>
</file>

<file path=xl/charts/chart7.xml><?xml version="1.0" encoding="utf-8"?>
<chartSpace xmlns:a="http://schemas.openxmlformats.org/drawingml/2006/main" xmlns="http://schemas.openxmlformats.org/drawingml/2006/chart">
  <style val="2"/>
  <chart>
    <title>
      <tx>
        <rich>
          <a:bodyPr/>
          <a:p>
            <a:pPr>
              <a:defRPr/>
            </a:pPr>
            <a:r>
              <a:t>CRB Commodity Index (YoY %)</a:t>
            </a:r>
          </a:p>
        </rich>
      </tx>
    </title>
    <plotArea>
      <lineChart>
        <grouping val="standard"/>
        <ser>
          <idx val="0"/>
          <order val="0"/>
          <tx>
            <strRef>
              <f>'_Chart Data'!T1</f>
            </strRef>
          </tx>
          <spPr>
            <a:ln w="22000">
              <a:solidFill>
                <a:srgbClr val="D35400"/>
              </a:solidFill>
              <a:prstDash val="solid"/>
            </a:ln>
          </spPr>
          <marker>
            <symbol val="none"/>
            <spPr>
              <a:ln>
                <a:prstDash val="solid"/>
              </a:ln>
            </spPr>
          </marker>
          <cat>
            <numRef>
              <f>'_Chart Data'!$S$2:$S$13</f>
            </numRef>
          </cat>
          <val>
            <numRef>
              <f>'_Chart Data'!$T$2:$T$13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YoY (%)</a:t>
                </a:r>
              </a:p>
            </rich>
          </tx>
        </title>
        <numFmt formatCode="0.00" sourceLinked="0"/>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style val="2"/>
  <chart>
    <title>
      <tx>
        <rich>
          <a:bodyPr/>
          <a:p>
            <a:pPr>
              <a:defRPr/>
            </a:pPr>
            <a:r>
              <a:t>ISM Manufacturing PMI</a:t>
            </a:r>
          </a:p>
        </rich>
      </tx>
    </title>
    <plotArea>
      <lineChart>
        <grouping val="standard"/>
        <ser>
          <idx val="0"/>
          <order val="0"/>
          <tx>
            <strRef>
              <f>'_Chart Data'!W1</f>
            </strRef>
          </tx>
          <spPr>
            <a:ln w="22000">
              <a:solidFill>
                <a:srgbClr val="1ABC9C"/>
              </a:solidFill>
              <a:prstDash val="solid"/>
            </a:ln>
          </spPr>
          <marker>
            <symbol val="none"/>
            <spPr>
              <a:ln>
                <a:prstDash val="solid"/>
              </a:ln>
            </spPr>
          </marker>
          <cat>
            <numRef>
              <f>'_Chart Data'!$V$2:$V$25</f>
            </numRef>
          </cat>
          <val>
            <numRef>
              <f>'_Chart Data'!$W$2:$W$25</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Index</a:t>
                </a:r>
              </a:p>
            </rich>
          </tx>
        </title>
        <numFmt formatCode="0.0" sourceLinked="0"/>
        <majorTickMark val="none"/>
        <minorTickMark val="none"/>
        <crossAx val="10"/>
      </valAx>
    </plotArea>
    <plotVisOnly val="1"/>
    <dispBlanksAs val="gap"/>
  </chart>
</chartSpace>
</file>

<file path=xl/charts/chart9.xml><?xml version="1.0" encoding="utf-8"?>
<chartSpace xmlns:a="http://schemas.openxmlformats.org/drawingml/2006/main" xmlns="http://schemas.openxmlformats.org/drawingml/2006/chart">
  <style val="2"/>
  <chart>
    <title>
      <tx>
        <rich>
          <a:bodyPr/>
          <a:p>
            <a:pPr>
              <a:defRPr/>
            </a:pPr>
            <a:r>
              <a:t>ISM Non-Manufacturing PMI</a:t>
            </a:r>
          </a:p>
        </rich>
      </tx>
    </title>
    <plotArea>
      <lineChart>
        <grouping val="standard"/>
        <ser>
          <idx val="0"/>
          <order val="0"/>
          <tx>
            <strRef>
              <f>'_Chart Data'!Z1</f>
            </strRef>
          </tx>
          <spPr>
            <a:ln w="22000">
              <a:solidFill>
                <a:srgbClr val="F39C12"/>
              </a:solidFill>
              <a:prstDash val="solid"/>
            </a:ln>
          </spPr>
          <marker>
            <symbol val="none"/>
            <spPr>
              <a:ln>
                <a:prstDash val="solid"/>
              </a:ln>
            </spPr>
          </marker>
          <cat>
            <numRef>
              <f>'_Chart Data'!$Y$2:$Y$25</f>
            </numRef>
          </cat>
          <val>
            <numRef>
              <f>'_Chart Data'!$Z$2:$Z$25</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Index</a:t>
                </a:r>
              </a:p>
            </rich>
          </tx>
        </title>
        <numFmt formatCode="0.0" sourceLinked="0"/>
        <majorTickMark val="none"/>
        <minorTickMark val="none"/>
        <crossAx val="10"/>
      </valAx>
    </plotArea>
    <plotVisOnly val="1"/>
    <dispBlanksAs val="gap"/>
  </chart>
</chartSpace>
</file>

<file path=xl/charts/chart10.xml><?xml version="1.0" encoding="utf-8"?>
<chartSpace xmlns:a="http://schemas.openxmlformats.org/drawingml/2006/main" xmlns="http://schemas.openxmlformats.org/drawingml/2006/chart">
  <style val="2"/>
  <chart>
    <title>
      <tx>
        <rich>
          <a:bodyPr/>
          <a:p>
            <a:pPr>
              <a:defRPr/>
            </a:pPr>
            <a:r>
              <a:t>Chicago PMI  (Regional)</a:t>
            </a:r>
          </a:p>
        </rich>
      </tx>
    </title>
    <plotArea>
      <lineChart>
        <grouping val="standard"/>
        <ser>
          <idx val="0"/>
          <order val="0"/>
          <tx>
            <strRef>
              <f>'_Chart Data'!AC1</f>
            </strRef>
          </tx>
          <spPr>
            <a:ln w="22000">
              <a:solidFill>
                <a:srgbClr val="2C3E50"/>
              </a:solidFill>
              <a:prstDash val="solid"/>
            </a:ln>
          </spPr>
          <marker>
            <symbol val="none"/>
            <spPr>
              <a:ln>
                <a:prstDash val="solid"/>
              </a:ln>
            </spPr>
          </marker>
          <cat>
            <numRef>
              <f>'_Chart Data'!$AB$2:$AB$25</f>
            </numRef>
          </cat>
          <val>
            <numRef>
              <f>'_Chart Data'!$AC$2:$AC$25</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Index</a:t>
                </a:r>
              </a:p>
            </rich>
          </tx>
        </title>
        <numFmt formatCode="0.0" sourceLinked="0"/>
        <majorTickMark val="none"/>
        <minorTickMark val="none"/>
        <crossAx val="10"/>
      </valAx>
    </plotArea>
    <plotVisOnly val="1"/>
    <dispBlanksAs val="gap"/>
  </chart>
</chartSpace>
</file>

<file path=xl/charts/chart11.xml><?xml version="1.0" encoding="utf-8"?>
<chartSpace xmlns:a="http://schemas.openxmlformats.org/drawingml/2006/main" xmlns="http://schemas.openxmlformats.org/drawingml/2006/chart">
  <style val="2"/>
  <chart>
    <title>
      <tx>
        <rich>
          <a:bodyPr/>
          <a:p>
            <a:pPr>
              <a:defRPr/>
            </a:pPr>
            <a:r>
              <a:t>Consumer Sentiment (UoM)</a:t>
            </a:r>
          </a:p>
        </rich>
      </tx>
    </title>
    <plotArea>
      <lineChart>
        <grouping val="standard"/>
        <ser>
          <idx val="0"/>
          <order val="0"/>
          <tx>
            <strRef>
              <f>'_Chart Data'!AF1</f>
            </strRef>
          </tx>
          <spPr>
            <a:ln w="22000">
              <a:solidFill>
                <a:srgbClr val="3498DB"/>
              </a:solidFill>
              <a:prstDash val="solid"/>
            </a:ln>
          </spPr>
          <marker>
            <symbol val="none"/>
            <spPr>
              <a:ln>
                <a:prstDash val="solid"/>
              </a:ln>
            </spPr>
          </marker>
          <cat>
            <numRef>
              <f>'_Chart Data'!$AE$2:$AE$13</f>
            </numRef>
          </cat>
          <val>
            <numRef>
              <f>'_Chart Data'!$AF$2:$AF$13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Index</a:t>
                </a:r>
              </a:p>
            </rich>
          </tx>
        </title>
        <numFmt formatCode="0.0" sourceLinked="0"/>
        <majorTickMark val="none"/>
        <minorTickMark val="none"/>
        <crossAx val="10"/>
      </valAx>
    </plotArea>
    <plotVisOnly val="1"/>
    <dispBlanksAs val="gap"/>
  </chart>
</chartSpace>
</file>

<file path=xl/charts/chart12.xml><?xml version="1.0" encoding="utf-8"?>
<chartSpace xmlns:a="http://schemas.openxmlformats.org/drawingml/2006/main" xmlns="http://schemas.openxmlformats.org/drawingml/2006/chart">
  <style val="2"/>
  <chart>
    <title>
      <tx>
        <rich>
          <a:bodyPr/>
          <a:p>
            <a:pPr>
              <a:defRPr/>
            </a:pPr>
            <a:r>
              <a:t>HY Credit Spread (OAS %)</a:t>
            </a:r>
          </a:p>
        </rich>
      </tx>
    </title>
    <plotArea>
      <lineChart>
        <grouping val="standard"/>
        <ser>
          <idx val="0"/>
          <order val="0"/>
          <tx>
            <strRef>
              <f>'_Chart Data'!AI1</f>
            </strRef>
          </tx>
          <spPr>
            <a:ln w="22000">
              <a:solidFill>
                <a:srgbClr val="E74C3C"/>
              </a:solidFill>
              <a:prstDash val="solid"/>
            </a:ln>
          </spPr>
          <marker>
            <symbol val="none"/>
            <spPr>
              <a:ln>
                <a:prstDash val="solid"/>
              </a:ln>
            </spPr>
          </marker>
          <cat>
            <numRef>
              <f>'_Chart Data'!$AH$2:$AH$13</f>
            </numRef>
          </cat>
          <val>
            <numRef>
              <f>'_Chart Data'!$AI$2:$AI$13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OAS (%)</a:t>
                </a:r>
              </a:p>
            </rich>
          </tx>
        </title>
        <numFmt formatCode="0.0" sourceLinked="0"/>
        <majorTickMark val="none"/>
        <minorTickMark val="none"/>
        <crossAx val="10"/>
      </valAx>
    </plotArea>
    <plotVisOnly val="1"/>
    <dispBlanksAs val="gap"/>
  </chart>
</chartSpace>
</file>

<file path=xl/charts/chart13.xml><?xml version="1.0" encoding="utf-8"?>
<chartSpace xmlns:a="http://schemas.openxmlformats.org/drawingml/2006/main" xmlns="http://schemas.openxmlformats.org/drawingml/2006/chart">
  <style val="2"/>
  <chart>
    <title>
      <tx>
        <rich>
          <a:bodyPr/>
          <a:p>
            <a:pPr>
              <a:defRPr/>
            </a:pPr>
            <a:r>
              <a:t>IG Credit Spread (OAS %)</a:t>
            </a:r>
          </a:p>
        </rich>
      </tx>
    </title>
    <plotArea>
      <lineChart>
        <grouping val="standard"/>
        <ser>
          <idx val="0"/>
          <order val="0"/>
          <tx>
            <strRef>
              <f>'_Chart Data'!AL1</f>
            </strRef>
          </tx>
          <spPr>
            <a:ln w="22000">
              <a:solidFill>
                <a:srgbClr val="CB4335"/>
              </a:solidFill>
              <a:prstDash val="solid"/>
            </a:ln>
          </spPr>
          <marker>
            <symbol val="none"/>
            <spPr>
              <a:ln>
                <a:prstDash val="solid"/>
              </a:ln>
            </spPr>
          </marker>
          <cat>
            <numRef>
              <f>'_Chart Data'!$AK$2:$AK$13</f>
            </numRef>
          </cat>
          <val>
            <numRef>
              <f>'_Chart Data'!$AL$2:$AL$13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OAS (%)</a:t>
                </a:r>
              </a:p>
            </rich>
          </tx>
        </title>
        <numFmt formatCode="0.0" sourceLinked="0"/>
        <majorTickMark val="none"/>
        <minorTickMark val="none"/>
        <crossAx val="10"/>
      </valAx>
    </plotArea>
    <plotVisOnly val="1"/>
    <dispBlanksAs val="gap"/>
  </chart>
</chartSpace>
</file>

<file path=xl/charts/chart14.xml><?xml version="1.0" encoding="utf-8"?>
<chartSpace xmlns:a="http://schemas.openxmlformats.org/drawingml/2006/main" xmlns="http://schemas.openxmlformats.org/drawingml/2006/chart">
  <style val="2"/>
  <chart>
    <title>
      <tx>
        <rich>
          <a:bodyPr/>
          <a:p>
            <a:pPr>
              <a:defRPr/>
            </a:pPr>
            <a:r>
              <a:t>Yield Curve (10Y–3M)</a:t>
            </a:r>
          </a:p>
        </rich>
      </tx>
    </title>
    <plotArea>
      <lineChart>
        <grouping val="standard"/>
        <ser>
          <idx val="0"/>
          <order val="0"/>
          <tx>
            <strRef>
              <f>'_Chart Data'!AO1</f>
            </strRef>
          </tx>
          <spPr>
            <a:ln w="22000">
              <a:solidFill>
                <a:srgbClr val="117864"/>
              </a:solidFill>
              <a:prstDash val="solid"/>
            </a:ln>
          </spPr>
          <marker>
            <symbol val="none"/>
            <spPr>
              <a:ln>
                <a:prstDash val="solid"/>
              </a:ln>
            </spPr>
          </marker>
          <cat>
            <numRef>
              <f>'_Chart Data'!$AN$2:$AN$13</f>
            </numRef>
          </cat>
          <val>
            <numRef>
              <f>'_Chart Data'!$AO$2:$AO$13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 Spread</a:t>
                </a:r>
              </a:p>
            </rich>
          </tx>
        </title>
        <numFmt formatCode="0.00" sourceLinked="0"/>
        <majorTickMark val="none"/>
        <minorTickMark val="none"/>
        <crossAx val="10"/>
      </valAx>
    </plotArea>
    <plotVisOnly val="1"/>
    <dispBlanksAs val="gap"/>
  </chart>
</chartSpace>
</file>

<file path=xl/charts/chart15.xml><?xml version="1.0" encoding="utf-8"?>
<chartSpace xmlns:a="http://schemas.openxmlformats.org/drawingml/2006/main" xmlns="http://schemas.openxmlformats.org/drawingml/2006/chart">
  <style val="2"/>
  <chart>
    <title>
      <tx>
        <rich>
          <a:bodyPr/>
          <a:p>
            <a:pPr>
              <a:defRPr/>
            </a:pPr>
            <a:r>
              <a:t>Building Permits (YoY %)</a:t>
            </a:r>
          </a:p>
        </rich>
      </tx>
    </title>
    <plotArea>
      <lineChart>
        <grouping val="standard"/>
        <ser>
          <idx val="0"/>
          <order val="0"/>
          <tx>
            <strRef>
              <f>'_Chart Data'!AR1</f>
            </strRef>
          </tx>
          <spPr>
            <a:ln w="22000">
              <a:solidFill>
                <a:srgbClr val="229954"/>
              </a:solidFill>
              <a:prstDash val="solid"/>
            </a:ln>
          </spPr>
          <marker>
            <symbol val="none"/>
            <spPr>
              <a:ln>
                <a:prstDash val="solid"/>
              </a:ln>
            </spPr>
          </marker>
          <cat>
            <numRef>
              <f>'_Chart Data'!$AQ$2:$AQ$13</f>
            </numRef>
          </cat>
          <val>
            <numRef>
              <f>'_Chart Data'!$AR$2:$AR$13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YoY (%)</a:t>
                </a:r>
              </a:p>
            </rich>
          </tx>
        </title>
        <numFmt formatCode="+#,##0.0;-#,##0.0" sourceLinked="0"/>
        <majorTickMark val="none"/>
        <minorTickMark val="none"/>
        <crossAx val="10"/>
      </valAx>
    </plotArea>
    <plotVisOnly val="1"/>
    <dispBlanksAs val="gap"/>
  </chart>
</chartSpace>
</file>

<file path=xl/charts/chart16.xml><?xml version="1.0" encoding="utf-8"?>
<chartSpace xmlns:a="http://schemas.openxmlformats.org/drawingml/2006/main" xmlns="http://schemas.openxmlformats.org/drawingml/2006/chart">
  <style val="2"/>
  <chart>
    <title>
      <tx>
        <rich>
          <a:bodyPr/>
          <a:p>
            <a:pPr>
              <a:defRPr/>
            </a:pPr>
            <a:r>
              <a:t>JOLTS Job Openings (YoY %)</a:t>
            </a:r>
          </a:p>
        </rich>
      </tx>
    </title>
    <plotArea>
      <lineChart>
        <grouping val="standard"/>
        <ser>
          <idx val="0"/>
          <order val="0"/>
          <tx>
            <strRef>
              <f>'_Chart Data'!AU1</f>
            </strRef>
          </tx>
          <spPr>
            <a:ln w="22000">
              <a:solidFill>
                <a:srgbClr val="2E86C1"/>
              </a:solidFill>
              <a:prstDash val="solid"/>
            </a:ln>
          </spPr>
          <marker>
            <symbol val="none"/>
            <spPr>
              <a:ln>
                <a:prstDash val="solid"/>
              </a:ln>
            </spPr>
          </marker>
          <cat>
            <numRef>
              <f>'_Chart Data'!$AT$2:$AT$13</f>
            </numRef>
          </cat>
          <val>
            <numRef>
              <f>'_Chart Data'!$AU$2:$AU$13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YoY (%)</a:t>
                </a:r>
              </a:p>
            </rich>
          </tx>
        </title>
        <numFmt formatCode="+#,##0.0;-#,##0.0" sourceLinked="0"/>
        <majorTickMark val="none"/>
        <minorTickMark val="none"/>
        <crossAx val="10"/>
      </valAx>
    </plotArea>
    <plotVisOnly val="1"/>
    <dispBlanksAs val="gap"/>
  </chart>
</chartSpace>
</file>

<file path=xl/charts/chart17.xml><?xml version="1.0" encoding="utf-8"?>
<chartSpace xmlns:a="http://schemas.openxmlformats.org/drawingml/2006/main" xmlns="http://schemas.openxmlformats.org/drawingml/2006/chart">
  <style val="2"/>
  <chart>
    <title>
      <tx>
        <rich>
          <a:bodyPr/>
          <a:p>
            <a:pPr>
              <a:defRPr/>
            </a:pPr>
            <a:r>
              <a:t>JOLTS Quits Rate (%)</a:t>
            </a:r>
          </a:p>
        </rich>
      </tx>
    </title>
    <plotArea>
      <lineChart>
        <grouping val="standard"/>
        <ser>
          <idx val="0"/>
          <order val="0"/>
          <tx>
            <strRef>
              <f>'_Chart Data'!AX1</f>
            </strRef>
          </tx>
          <spPr>
            <a:ln w="22000">
              <a:solidFill>
                <a:srgbClr val="1F618D"/>
              </a:solidFill>
              <a:prstDash val="solid"/>
            </a:ln>
          </spPr>
          <marker>
            <symbol val="none"/>
            <spPr>
              <a:ln>
                <a:prstDash val="solid"/>
              </a:ln>
            </spPr>
          </marker>
          <cat>
            <numRef>
              <f>'_Chart Data'!$AW$2:$AW$13</f>
            </numRef>
          </cat>
          <val>
            <numRef>
              <f>'_Chart Data'!$AX$2:$AX$13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Rate (%)</a:t>
                </a:r>
              </a:p>
            </rich>
          </tx>
        </title>
        <numFmt formatCode="0.0" sourceLinked="0"/>
        <majorTickMark val="none"/>
        <minorTickMark val="none"/>
        <crossAx val="10"/>
      </valAx>
    </plotArea>
    <plotVisOnly val="1"/>
    <dispBlanksAs val="gap"/>
  </chart>
</chartSpace>
</file>

<file path=xl/charts/chart18.xml><?xml version="1.0" encoding="utf-8"?>
<chartSpace xmlns:a="http://schemas.openxmlformats.org/drawingml/2006/main" xmlns="http://schemas.openxmlformats.org/drawingml/2006/chart">
  <style val="2"/>
  <chart>
    <title>
      <tx>
        <rich>
          <a:bodyPr/>
          <a:p>
            <a:pPr>
              <a:defRPr/>
            </a:pPr>
            <a:r>
              <a:t>10Y Breakeven Inflation</a:t>
            </a:r>
          </a:p>
        </rich>
      </tx>
    </title>
    <plotArea>
      <lineChart>
        <grouping val="standard"/>
        <ser>
          <idx val="0"/>
          <order val="0"/>
          <tx>
            <strRef>
              <f>'_Chart Data'!BA1</f>
            </strRef>
          </tx>
          <spPr>
            <a:ln w="22000">
              <a:solidFill>
                <a:srgbClr val="D68910"/>
              </a:solidFill>
              <a:prstDash val="solid"/>
            </a:ln>
          </spPr>
          <marker>
            <symbol val="none"/>
            <spPr>
              <a:ln>
                <a:prstDash val="solid"/>
              </a:ln>
            </spPr>
          </marker>
          <cat>
            <numRef>
              <f>'_Chart Data'!$AZ$2:$AZ$13</f>
            </numRef>
          </cat>
          <val>
            <numRef>
              <f>'_Chart Data'!$BA$2:$BA$13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Rate (%)</a:t>
                </a:r>
              </a:p>
            </rich>
          </tx>
        </title>
        <numFmt formatCode="0.00" sourceLinked="0"/>
        <majorTickMark val="none"/>
        <minorTickMark val="none"/>
        <crossAx val="10"/>
      </valAx>
    </plotArea>
    <plotVisOnly val="1"/>
    <dispBlanksAs val="gap"/>
  </chart>
</chartSpace>
</file>

<file path=xl/charts/chart19.xml><?xml version="1.0" encoding="utf-8"?>
<chartSpace xmlns:a="http://schemas.openxmlformats.org/drawingml/2006/main" xmlns="http://schemas.openxmlformats.org/drawingml/2006/chart">
  <style val="2"/>
  <chart>
    <title>
      <tx>
        <rich>
          <a:bodyPr/>
          <a:p>
            <a:pPr>
              <a:defRPr/>
            </a:pPr>
            <a:r>
              <a:t>Chicago Fed Natl Activity</a:t>
            </a:r>
          </a:p>
        </rich>
      </tx>
    </title>
    <plotArea>
      <lineChart>
        <grouping val="standard"/>
        <ser>
          <idx val="0"/>
          <order val="0"/>
          <tx>
            <strRef>
              <f>'_Chart Data'!BD1</f>
            </strRef>
          </tx>
          <spPr>
            <a:ln w="22000">
              <a:solidFill>
                <a:srgbClr val="6C3483"/>
              </a:solidFill>
              <a:prstDash val="solid"/>
            </a:ln>
          </spPr>
          <marker>
            <symbol val="none"/>
            <spPr>
              <a:ln>
                <a:prstDash val="solid"/>
              </a:ln>
            </spPr>
          </marker>
          <cat>
            <numRef>
              <f>'_Chart Data'!$BC$2:$BC$13</f>
            </numRef>
          </cat>
          <val>
            <numRef>
              <f>'_Chart Data'!$BD$2:$BD$13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Index</a:t>
                </a:r>
              </a:p>
            </rich>
          </tx>
        </title>
        <numFmt formatCode="0.00" sourceLinked="0"/>
        <majorTickMark val="none"/>
        <minorTickMark val="none"/>
        <crossAx val="10"/>
      </valAx>
    </plotArea>
    <plotVisOnly val="1"/>
    <dispBlanksAs val="gap"/>
  </chart>
</chartSpace>
</file>

<file path=xl/charts/chart20.xml><?xml version="1.0" encoding="utf-8"?>
<chartSpace xmlns:a="http://schemas.openxmlformats.org/drawingml/2006/main" xmlns="http://schemas.openxmlformats.org/drawingml/2006/chart">
  <style val="2"/>
  <chart>
    <title>
      <tx>
        <rich>
          <a:bodyPr/>
          <a:p>
            <a:pPr>
              <a:defRPr/>
            </a:pPr>
            <a:r>
              <a:t>Policy Uncertainty (EPU)</a:t>
            </a:r>
          </a:p>
        </rich>
      </tx>
    </title>
    <plotArea>
      <lineChart>
        <grouping val="standard"/>
        <ser>
          <idx val="0"/>
          <order val="0"/>
          <tx>
            <strRef>
              <f>'_Chart Data'!BG1</f>
            </strRef>
          </tx>
          <spPr>
            <a:ln w="22000">
              <a:solidFill>
                <a:srgbClr val="C62828"/>
              </a:solidFill>
              <a:prstDash val="solid"/>
            </a:ln>
          </spPr>
          <marker>
            <symbol val="none"/>
            <spPr>
              <a:ln>
                <a:prstDash val="solid"/>
              </a:ln>
            </spPr>
          </marker>
          <cat>
            <numRef>
              <f>'_Chart Data'!$BF$2:$BF$13</f>
            </numRef>
          </cat>
          <val>
            <numRef>
              <f>'_Chart Data'!$BG$2:$BG$13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Index</a:t>
                </a:r>
              </a:p>
            </rich>
          </tx>
        </title>
        <numFmt formatCode="0.0" sourceLinked="0"/>
        <majorTickMark val="none"/>
        <minorTickMark val="none"/>
        <crossAx val="10"/>
      </valAx>
    </plotArea>
    <plotVisOnly val="1"/>
    <dispBlanksAs val="gap"/>
  </chart>
</chartSpace>
</file>

<file path=xl/charts/chart21.xml><?xml version="1.0" encoding="utf-8"?>
<chartSpace xmlns:a="http://schemas.openxmlformats.org/drawingml/2006/main" xmlns="http://schemas.openxmlformats.org/drawingml/2006/chart">
  <style val="2"/>
  <chart>
    <title>
      <tx>
        <rich>
          <a:bodyPr/>
          <a:p>
            <a:pPr>
              <a:defRPr/>
            </a:pPr>
            <a:r>
              <a:t>CBOE VIX  (Fear Index)</a:t>
            </a:r>
          </a:p>
        </rich>
      </tx>
    </title>
    <plotArea>
      <lineChart>
        <grouping val="standard"/>
        <ser>
          <idx val="0"/>
          <order val="0"/>
          <tx>
            <strRef>
              <f>'_Chart Data'!BM1</f>
            </strRef>
          </tx>
          <spPr>
            <a:ln w="22000">
              <a:solidFill>
                <a:srgbClr val="C0392B"/>
              </a:solidFill>
              <a:prstDash val="solid"/>
            </a:ln>
          </spPr>
          <marker>
            <symbol val="none"/>
            <spPr>
              <a:ln>
                <a:prstDash val="solid"/>
              </a:ln>
            </spPr>
          </marker>
          <cat>
            <numRef>
              <f>'_Chart Data'!$BL$2:$BL$53</f>
            </numRef>
          </cat>
          <val>
            <numRef>
              <f>'_Chart Data'!$BM$2:$BM$53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Value</a:t>
                </a:r>
              </a:p>
            </rich>
          </tx>
        </title>
        <numFmt formatCode="0.0" sourceLinked="0"/>
        <majorTickMark val="none"/>
        <minorTickMark val="none"/>
        <crossAx val="10"/>
      </valAx>
    </plotArea>
    <plotVisOnly val="1"/>
    <dispBlanksAs val="gap"/>
  </chart>
</chartSpace>
</file>

<file path=xl/charts/chart22.xml><?xml version="1.0" encoding="utf-8"?>
<chartSpace xmlns:a="http://schemas.openxmlformats.org/drawingml/2006/main" xmlns="http://schemas.openxmlformats.org/drawingml/2006/chart">
  <style val="2"/>
  <chart>
    <title>
      <tx>
        <rich>
          <a:bodyPr/>
          <a:p>
            <a:pPr>
              <a:defRPr/>
            </a:pPr>
            <a:r>
              <a:t>Chicago Financial Conditions</a:t>
            </a:r>
          </a:p>
        </rich>
      </tx>
    </title>
    <plotArea>
      <lineChart>
        <grouping val="standard"/>
        <ser>
          <idx val="0"/>
          <order val="0"/>
          <tx>
            <strRef>
              <f>'_Chart Data'!BP1</f>
            </strRef>
          </tx>
          <spPr>
            <a:ln w="22000">
              <a:solidFill>
                <a:srgbClr val="2980B9"/>
              </a:solidFill>
              <a:prstDash val="solid"/>
            </a:ln>
          </spPr>
          <marker>
            <symbol val="none"/>
            <spPr>
              <a:ln>
                <a:prstDash val="solid"/>
              </a:ln>
            </spPr>
          </marker>
          <cat>
            <numRef>
              <f>'_Chart Data'!$BO$2:$BO$53</f>
            </numRef>
          </cat>
          <val>
            <numRef>
              <f>'_Chart Data'!$BP$2:$BP$53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Value</a:t>
                </a:r>
              </a:p>
            </rich>
          </tx>
        </title>
        <numFmt formatCode="0.000" sourceLinked="0"/>
        <majorTickMark val="none"/>
        <minorTickMark val="none"/>
        <crossAx val="10"/>
      </valAx>
    </plotArea>
    <plotVisOnly val="1"/>
    <dispBlanksAs val="gap"/>
  </chart>
</chartSpace>
</file>

<file path=xl/charts/chart23.xml><?xml version="1.0" encoding="utf-8"?>
<chartSpace xmlns:a="http://schemas.openxmlformats.org/drawingml/2006/main" xmlns="http://schemas.openxmlformats.org/drawingml/2006/chart">
  <style val="2"/>
  <chart>
    <title>
      <tx>
        <rich>
          <a:bodyPr/>
          <a:p>
            <a:pPr>
              <a:defRPr/>
            </a:pPr>
            <a:r>
              <a:t>St. Louis Financial Stress Index</a:t>
            </a:r>
          </a:p>
        </rich>
      </tx>
    </title>
    <plotArea>
      <lineChart>
        <grouping val="standard"/>
        <ser>
          <idx val="0"/>
          <order val="0"/>
          <tx>
            <strRef>
              <f>'_Chart Data'!BS1</f>
            </strRef>
          </tx>
          <spPr>
            <a:ln w="22000">
              <a:solidFill>
                <a:srgbClr val="8E44AD"/>
              </a:solidFill>
              <a:prstDash val="solid"/>
            </a:ln>
          </spPr>
          <marker>
            <symbol val="none"/>
            <spPr>
              <a:ln>
                <a:prstDash val="solid"/>
              </a:ln>
            </spPr>
          </marker>
          <cat>
            <numRef>
              <f>'_Chart Data'!$BR$2:$BR$53</f>
            </numRef>
          </cat>
          <val>
            <numRef>
              <f>'_Chart Data'!$BS$2:$BS$53</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Value</a:t>
                </a:r>
              </a:p>
            </rich>
          </tx>
        </title>
        <numFmt formatCode="0.000" sourceLinked="0"/>
        <majorTickMark val="none"/>
        <minorTickMark val="none"/>
        <crossAx val="10"/>
      </valAx>
    </plotArea>
    <plotVisOnly val="1"/>
    <dispBlanksAs val="gap"/>
  </chart>
</chartSpace>
</file>

<file path=xl/charts/chart24.xml><?xml version="1.0" encoding="utf-8"?>
<chartSpace xmlns:a="http://schemas.openxmlformats.org/drawingml/2006/main" xmlns="http://schemas.openxmlformats.org/drawingml/2006/chart">
  <style val="2"/>
  <chart>
    <title>
      <tx>
        <rich>
          <a:bodyPr/>
          <a:p>
            <a:pPr>
              <a:defRPr/>
            </a:pPr>
            <a:r>
              <a:t>Bank Lending Standards (C&amp;I %net)</a:t>
            </a:r>
          </a:p>
        </rich>
      </tx>
    </title>
    <plotArea>
      <lineChart>
        <grouping val="standard"/>
        <ser>
          <idx val="0"/>
          <order val="0"/>
          <tx>
            <strRef>
              <f>'_Chart Data'!BV1</f>
            </strRef>
          </tx>
          <spPr>
            <a:ln w="22000">
              <a:solidFill>
                <a:srgbClr val="E67E22"/>
              </a:solidFill>
              <a:prstDash val="solid"/>
            </a:ln>
          </spPr>
          <marker>
            <symbol val="none"/>
            <spPr>
              <a:ln>
                <a:prstDash val="solid"/>
              </a:ln>
            </spPr>
          </marker>
          <cat>
            <numRef>
              <f>'_Chart Data'!$BU$2:$BU$11</f>
            </numRef>
          </cat>
          <val>
            <numRef>
              <f>'_Chart Data'!$BV$2:$BV$11</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Value</a:t>
                </a:r>
              </a:p>
            </rich>
          </tx>
        </title>
        <numFmt formatCode="0.0" sourceLinked="0"/>
        <majorTickMark val="none"/>
        <minorTickMark val="none"/>
        <crossAx val="10"/>
      </valAx>
    </plotArea>
    <plotVisOnly val="1"/>
    <dispBlanksAs val="gap"/>
  </chart>
</chartSpace>
</file>

<file path=xl/charts/chart25.xml><?xml version="1.0" encoding="utf-8"?>
<chartSpace xmlns:a="http://schemas.openxmlformats.org/drawingml/2006/main" xmlns="http://schemas.openxmlformats.org/drawingml/2006/chart">
  <style val="2"/>
  <chart>
    <title>
      <tx>
        <rich>
          <a:bodyPr/>
          <a:p>
            <a:pPr>
              <a:defRPr/>
            </a:pPr>
            <a:r>
              <a:t>10Y–2Y Yield Curve Spread</a:t>
            </a:r>
          </a:p>
        </rich>
      </tx>
    </title>
    <plotArea>
      <lineChart>
        <grouping val="standard"/>
        <ser>
          <idx val="0"/>
          <order val="0"/>
          <tx>
            <strRef>
              <f>'_Chart Data'!BY1</f>
            </strRef>
          </tx>
          <spPr>
            <a:ln w="22000">
              <a:solidFill>
                <a:srgbClr val="1A5276"/>
              </a:solidFill>
              <a:prstDash val="solid"/>
            </a:ln>
          </spPr>
          <marker>
            <symbol val="none"/>
            <spPr>
              <a:ln>
                <a:prstDash val="solid"/>
              </a:ln>
            </spPr>
          </marker>
          <cat>
            <numRef>
              <f>'_Chart Data'!$BX$2:$BX$261</f>
            </numRef>
          </cat>
          <val>
            <numRef>
              <f>'_Chart Data'!$BY$2:$BY$261</f>
            </numRef>
          </val>
          <smooth val="1"/>
        </ser>
        <axId val="10"/>
        <axId val="100"/>
      </lineChart>
      <catAx>
        <axId val="10"/>
        <scaling>
          <orientation val="minMax"/>
        </scaling>
        <delete val="0"/>
        <axPos val="l"/>
        <majorGridlines/>
        <majorTickMark val="none"/>
        <minorTickMark val="none"/>
        <tickLblPos val="low"/>
        <crossAx val="100"/>
        <lblOffset val="100"/>
      </catAx>
      <valAx>
        <axId val="100"/>
        <scaling>
          <orientation val="minMax"/>
        </scaling>
        <delete val="0"/>
        <axPos val="l"/>
        <majorGridlines/>
        <title>
          <tx>
            <rich>
              <a:bodyPr/>
              <a:p>
                <a:pPr>
                  <a:defRPr/>
                </a:pPr>
                <a:r>
                  <a:t>Value</a:t>
                </a:r>
              </a:p>
            </rich>
          </tx>
        </title>
        <numFmt formatCode="0.0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 Type="http://schemas.openxmlformats.org/officeDocument/2006/relationships/chart" Target="/xl/charts/chart7.xml" Id="rId4" /></Relationships>
</file>

<file path=xl/drawings/_rels/drawing3.xml.rels><Relationships xmlns="http://schemas.openxmlformats.org/package/2006/relationships"><Relationship Type="http://schemas.openxmlformats.org/officeDocument/2006/relationships/chart" Target="/xl/charts/chart8.xml" Id="rId1" /><Relationship Type="http://schemas.openxmlformats.org/officeDocument/2006/relationships/chart" Target="/xl/charts/chart9.xml" Id="rId2" /><Relationship Type="http://schemas.openxmlformats.org/officeDocument/2006/relationships/chart" Target="/xl/charts/chart10.xml" Id="rId3" /><Relationship Type="http://schemas.openxmlformats.org/officeDocument/2006/relationships/chart" Target="/xl/charts/chart11.xml" Id="rId4" /></Relationships>
</file>

<file path=xl/drawings/_rels/drawing4.xml.rels><Relationships xmlns="http://schemas.openxmlformats.org/package/2006/relationships"><Relationship Type="http://schemas.openxmlformats.org/officeDocument/2006/relationships/chart" Target="/xl/charts/chart12.xml" Id="rId1" /><Relationship Type="http://schemas.openxmlformats.org/officeDocument/2006/relationships/chart" Target="/xl/charts/chart13.xml" Id="rId2" /><Relationship Type="http://schemas.openxmlformats.org/officeDocument/2006/relationships/chart" Target="/xl/charts/chart14.xml" Id="rId3" /><Relationship Type="http://schemas.openxmlformats.org/officeDocument/2006/relationships/chart" Target="/xl/charts/chart15.xml" Id="rId4" /><Relationship Type="http://schemas.openxmlformats.org/officeDocument/2006/relationships/chart" Target="/xl/charts/chart16.xml" Id="rId5" /><Relationship Type="http://schemas.openxmlformats.org/officeDocument/2006/relationships/chart" Target="/xl/charts/chart17.xml" Id="rId6" /><Relationship Type="http://schemas.openxmlformats.org/officeDocument/2006/relationships/chart" Target="/xl/charts/chart18.xml" Id="rId7" /><Relationship Type="http://schemas.openxmlformats.org/officeDocument/2006/relationships/chart" Target="/xl/charts/chart19.xml" Id="rId8" /><Relationship Type="http://schemas.openxmlformats.org/officeDocument/2006/relationships/chart" Target="/xl/charts/chart20.xml" Id="rId9" /></Relationships>
</file>

<file path=xl/drawings/_rels/drawing5.xml.rels><Relationships xmlns="http://schemas.openxmlformats.org/package/2006/relationships"><Relationship Type="http://schemas.openxmlformats.org/officeDocument/2006/relationships/chart" Target="/xl/charts/chart21.xml" Id="rId1" /><Relationship Type="http://schemas.openxmlformats.org/officeDocument/2006/relationships/chart" Target="/xl/charts/chart22.xml" Id="rId2" /><Relationship Type="http://schemas.openxmlformats.org/officeDocument/2006/relationships/chart" Target="/xl/charts/chart23.xml" Id="rId3" /><Relationship Type="http://schemas.openxmlformats.org/officeDocument/2006/relationships/chart" Target="/xl/charts/chart24.xml" Id="rId4" /><Relationship Type="http://schemas.openxmlformats.org/officeDocument/2006/relationships/chart" Target="/xl/charts/chart2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62</row>
      <rowOff>0</rowOff>
    </from>
    <ext cx="8640000" cy="46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88</row>
      <rowOff>0</rowOff>
    </from>
    <ext cx="8640000" cy="468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114</row>
      <rowOff>0</rowOff>
    </from>
    <ext cx="8640000" cy="468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81</row>
      <rowOff>0</rowOff>
    </from>
    <ext cx="8640000" cy="46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107</row>
      <rowOff>0</rowOff>
    </from>
    <ext cx="8640000" cy="468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133</row>
      <rowOff>0</rowOff>
    </from>
    <ext cx="8640000" cy="4680000"/>
    <graphicFrame>
      <nvGraphicFramePr>
        <cNvPr id="3" name="Chart 3"/>
        <cNvGraphicFramePr/>
      </nvGraphicFramePr>
      <xfrm/>
      <a:graphic>
        <a:graphicData uri="http://schemas.openxmlformats.org/drawingml/2006/chart">
          <c:chart r:id="rId3"/>
        </a:graphicData>
      </a:graphic>
    </graphicFrame>
    <clientData/>
  </oneCellAnchor>
  <oneCellAnchor>
    <from>
      <col>1</col>
      <colOff>0</colOff>
      <row>159</row>
      <rowOff>0</rowOff>
    </from>
    <ext cx="8640000" cy="468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48</row>
      <rowOff>0</rowOff>
    </from>
    <ext cx="8640000" cy="46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74</row>
      <rowOff>0</rowOff>
    </from>
    <ext cx="8640000" cy="468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100</row>
      <rowOff>0</rowOff>
    </from>
    <ext cx="8640000" cy="4680000"/>
    <graphicFrame>
      <nvGraphicFramePr>
        <cNvPr id="3" name="Chart 3"/>
        <cNvGraphicFramePr/>
      </nvGraphicFramePr>
      <xfrm/>
      <a:graphic>
        <a:graphicData uri="http://schemas.openxmlformats.org/drawingml/2006/chart">
          <c:chart r:id="rId3"/>
        </a:graphicData>
      </a:graphic>
    </graphicFrame>
    <clientData/>
  </oneCellAnchor>
  <oneCellAnchor>
    <from>
      <col>1</col>
      <colOff>0</colOff>
      <row>126</row>
      <rowOff>0</rowOff>
    </from>
    <ext cx="8640000" cy="468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176</row>
      <rowOff>0</rowOff>
    </from>
    <ext cx="8640000" cy="46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202</row>
      <rowOff>0</rowOff>
    </from>
    <ext cx="8640000" cy="468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228</row>
      <rowOff>0</rowOff>
    </from>
    <ext cx="8640000" cy="4680000"/>
    <graphicFrame>
      <nvGraphicFramePr>
        <cNvPr id="3" name="Chart 3"/>
        <cNvGraphicFramePr/>
      </nvGraphicFramePr>
      <xfrm/>
      <a:graphic>
        <a:graphicData uri="http://schemas.openxmlformats.org/drawingml/2006/chart">
          <c:chart r:id="rId3"/>
        </a:graphicData>
      </a:graphic>
    </graphicFrame>
    <clientData/>
  </oneCellAnchor>
  <oneCellAnchor>
    <from>
      <col>1</col>
      <colOff>0</colOff>
      <row>254</row>
      <rowOff>0</rowOff>
    </from>
    <ext cx="8640000" cy="468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280</row>
      <rowOff>0</rowOff>
    </from>
    <ext cx="8640000" cy="4680000"/>
    <graphicFrame>
      <nvGraphicFramePr>
        <cNvPr id="5" name="Chart 5"/>
        <cNvGraphicFramePr/>
      </nvGraphicFramePr>
      <xfrm/>
      <a:graphic>
        <a:graphicData uri="http://schemas.openxmlformats.org/drawingml/2006/chart">
          <c:chart r:id="rId5"/>
        </a:graphicData>
      </a:graphic>
    </graphicFrame>
    <clientData/>
  </oneCellAnchor>
  <oneCellAnchor>
    <from>
      <col>1</col>
      <colOff>0</colOff>
      <row>306</row>
      <rowOff>0</rowOff>
    </from>
    <ext cx="8640000" cy="468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332</row>
      <rowOff>0</rowOff>
    </from>
    <ext cx="8640000" cy="4680000"/>
    <graphicFrame>
      <nvGraphicFramePr>
        <cNvPr id="7" name="Chart 7"/>
        <cNvGraphicFramePr/>
      </nvGraphicFramePr>
      <xfrm/>
      <a:graphic>
        <a:graphicData uri="http://schemas.openxmlformats.org/drawingml/2006/chart">
          <c:chart r:id="rId7"/>
        </a:graphicData>
      </a:graphic>
    </graphicFrame>
    <clientData/>
  </oneCellAnchor>
  <oneCellAnchor>
    <from>
      <col>1</col>
      <colOff>0</colOff>
      <row>358</row>
      <rowOff>0</rowOff>
    </from>
    <ext cx="8640000" cy="468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384</row>
      <rowOff>0</rowOff>
    </from>
    <ext cx="8640000" cy="4680000"/>
    <graphicFrame>
      <nvGraphicFramePr>
        <cNvPr id="9" name="Chart 9"/>
        <cNvGraphicFramePr/>
      </nvGraphicFramePr>
      <xfrm/>
      <a:graphic>
        <a:graphicData uri="http://schemas.openxmlformats.org/drawingml/2006/chart">
          <c:chart r:id="rId9"/>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24</row>
      <rowOff>0</rowOff>
    </from>
    <ext cx="8640000" cy="46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50</row>
      <rowOff>0</rowOff>
    </from>
    <ext cx="8640000" cy="468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76</row>
      <rowOff>0</rowOff>
    </from>
    <ext cx="8640000" cy="4680000"/>
    <graphicFrame>
      <nvGraphicFramePr>
        <cNvPr id="3" name="Chart 3"/>
        <cNvGraphicFramePr/>
      </nvGraphicFramePr>
      <xfrm/>
      <a:graphic>
        <a:graphicData uri="http://schemas.openxmlformats.org/drawingml/2006/chart">
          <c:chart r:id="rId3"/>
        </a:graphicData>
      </a:graphic>
    </graphicFrame>
    <clientData/>
  </oneCellAnchor>
  <oneCellAnchor>
    <from>
      <col>1</col>
      <colOff>0</colOff>
      <row>102</row>
      <rowOff>0</rowOff>
    </from>
    <ext cx="8640000" cy="468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128</row>
      <rowOff>0</rowOff>
    </from>
    <ext cx="8640000" cy="46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7.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tabColor rgb="00FF0000"/>
    <outlinePr summaryBelow="1" summaryRight="1"/>
    <pageSetUpPr/>
  </sheetPr>
  <dimension ref="A1:L5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30" customWidth="1" min="3" max="3"/>
    <col width="16" customWidth="1" min="4" max="4"/>
    <col width="11" customWidth="1" min="5" max="5"/>
    <col width="44.3" customWidth="1" min="6" max="6"/>
    <col width="34" customWidth="1" min="7" max="7"/>
    <col width="22" customWidth="1" min="8" max="8"/>
    <col width="20" customWidth="1" min="9" max="9"/>
    <col width="45.7" customWidth="1" min="10" max="10"/>
    <col width="14" customWidth="1" min="11" max="11"/>
    <col width="14" customWidth="1" min="12" max="12"/>
  </cols>
  <sheetData>
    <row r="1" ht="48" customHeight="1">
      <c r="A1" s="1" t="inlineStr">
        <is>
          <t>US MACROECONOMIC INDICATORS DASHBOARD</t>
        </is>
      </c>
      <c r="B1" s="2" t="n"/>
      <c r="C1" s="2" t="n"/>
      <c r="D1" s="2" t="n"/>
      <c r="E1" s="2" t="n"/>
      <c r="F1" s="2" t="n"/>
      <c r="G1" s="2" t="n"/>
      <c r="H1" s="2" t="n"/>
      <c r="I1" s="2" t="n"/>
      <c r="J1" s="2" t="n"/>
      <c r="K1" s="2" t="n"/>
      <c r="L1" s="3" t="n"/>
    </row>
    <row r="2" ht="18" customHeight="1">
      <c r="A2" s="4" t="inlineStr">
        <is>
          <t>Last Refreshed: 01 April 2026  |  17:56     |     Data: FRED API     |     ISM/Chicago PMI: Auto-extracted from PDFs</t>
        </is>
      </c>
      <c r="B2" s="2" t="n"/>
      <c r="C2" s="2" t="n"/>
      <c r="D2" s="2" t="n"/>
      <c r="E2" s="2" t="n"/>
      <c r="F2" s="2" t="n"/>
      <c r="G2" s="2" t="n"/>
      <c r="H2" s="2" t="n"/>
      <c r="I2" s="2" t="n"/>
      <c r="J2" s="2" t="n"/>
      <c r="K2" s="2" t="n"/>
      <c r="L2" s="3" t="n"/>
    </row>
    <row r="3" ht="6" customHeight="1"/>
    <row r="4" ht="50" customHeight="1">
      <c r="A4" s="5" t="inlineStr">
        <is>
          <t>STAGFLATION  94%</t>
        </is>
      </c>
      <c r="B4" s="2" t="n"/>
      <c r="C4" s="2" t="n"/>
      <c r="D4" s="2" t="n"/>
      <c r="E4" s="3" t="n"/>
      <c r="F4" s="6" t="inlineStr">
        <is>
          <t>OUTLOOK:  WEAKENING</t>
        </is>
      </c>
      <c r="G4" s="2" t="n"/>
      <c r="H4" s="3" t="n"/>
      <c r="I4" s="6" t="inlineStr">
        <is>
          <t>SCORE:  +0.05  NEUTRAL</t>
        </is>
      </c>
      <c r="J4" s="2" t="n"/>
      <c r="K4" s="2" t="n"/>
      <c r="L4" s="3" t="n"/>
    </row>
    <row r="5" ht="24" customHeight="1">
      <c r="A5" s="7" t="inlineStr">
        <is>
          <t>Early Recovery  0%</t>
        </is>
      </c>
      <c r="B5" s="2" t="n"/>
      <c r="C5" s="3" t="n"/>
      <c r="D5" s="8" t="inlineStr">
        <is>
          <t>Reflation  0%</t>
        </is>
      </c>
      <c r="E5" s="2" t="n"/>
      <c r="F5" s="3" t="n"/>
      <c r="G5" s="9" t="inlineStr">
        <is>
          <t>Stagflation  94%</t>
        </is>
      </c>
      <c r="H5" s="2" t="n"/>
      <c r="I5" s="3" t="n"/>
      <c r="J5" s="10" t="inlineStr">
        <is>
          <t>Deflation  6%</t>
        </is>
      </c>
      <c r="K5" s="2" t="n"/>
      <c r="L5" s="3" t="n"/>
    </row>
    <row r="6" ht="24" customHeight="1">
      <c r="A6" s="11" t="inlineStr">
        <is>
          <t>◆ GROWTH FLAT</t>
        </is>
      </c>
      <c r="B6" s="2" t="n"/>
      <c r="C6" s="3" t="n"/>
      <c r="D6" s="11" t="inlineStr">
        <is>
          <t>◆ INFLATION FLAT</t>
        </is>
      </c>
      <c r="E6" s="2" t="n"/>
      <c r="F6" s="3" t="n"/>
      <c r="G6" s="12" t="inlineStr">
        <is>
          <t>▼ EASIER POLICY</t>
        </is>
      </c>
      <c r="H6" s="2" t="n"/>
      <c r="I6" s="3" t="n"/>
      <c r="J6" s="12" t="inlineStr">
        <is>
          <t>SAHM 0.27</t>
        </is>
      </c>
      <c r="K6" s="2" t="n"/>
      <c r="L6" s="3" t="n"/>
    </row>
    <row r="7" ht="22" customHeight="1">
      <c r="A7" s="11" t="inlineStr">
        <is>
          <t>Leading: +0.02</t>
        </is>
      </c>
      <c r="B7" s="2" t="n"/>
      <c r="C7" s="3" t="n"/>
      <c r="D7" s="12" t="inlineStr">
        <is>
          <t>Coincident: +0.33</t>
        </is>
      </c>
      <c r="E7" s="2" t="n"/>
      <c r="F7" s="3" t="n"/>
      <c r="G7" s="13" t="inlineStr">
        <is>
          <t>Lagging: -0.12</t>
        </is>
      </c>
      <c r="H7" s="2" t="n"/>
      <c r="I7" s="3" t="n"/>
      <c r="J7" s="12" t="inlineStr">
        <is>
          <t>POS: RISK-ON</t>
        </is>
      </c>
      <c r="K7" s="2" t="n"/>
      <c r="L7" s="3" t="n"/>
    </row>
    <row r="8" ht="6" customHeight="1"/>
    <row r="9" ht="22" customHeight="1">
      <c r="A9" s="14" t="inlineStr">
        <is>
          <t>SIGNAL LEGEND</t>
        </is>
      </c>
      <c r="B9" s="3" t="n"/>
      <c r="C9" s="12" t="inlineStr">
        <is>
          <t>EXPANSIONARY</t>
        </is>
      </c>
      <c r="D9" s="2" t="n"/>
      <c r="E9" s="3" t="n"/>
      <c r="F9" s="11" t="inlineStr">
        <is>
          <t>NEUTRAL</t>
        </is>
      </c>
      <c r="G9" s="2" t="n"/>
      <c r="H9" s="3" t="n"/>
      <c r="I9" s="13" t="inlineStr">
        <is>
          <t>CONTRACTIONARY</t>
        </is>
      </c>
      <c r="J9" s="2" t="n"/>
      <c r="K9" s="3" t="n"/>
      <c r="L9" s="15" t="inlineStr">
        <is>
          <t>WT</t>
        </is>
      </c>
    </row>
    <row r="10" ht="28" customHeight="1">
      <c r="A10" s="16" t="inlineStr"/>
      <c r="B10" s="16" t="inlineStr">
        <is>
          <t>Category</t>
        </is>
      </c>
      <c r="C10" s="17" t="inlineStr">
        <is>
          <t>Metric</t>
        </is>
      </c>
      <c r="D10" s="16" t="inlineStr">
        <is>
          <t>Latest Value</t>
        </is>
      </c>
      <c r="E10" s="16" t="inlineStr">
        <is>
          <t>Unit</t>
        </is>
      </c>
      <c r="F10" s="17" t="inlineStr">
        <is>
          <t>Economic Impact</t>
        </is>
      </c>
      <c r="G10" s="17" t="inlineStr">
        <is>
          <t>Likely Policy Response</t>
        </is>
      </c>
      <c r="H10" s="16" t="inlineStr">
        <is>
          <t>Economic Signal</t>
        </is>
      </c>
      <c r="I10" s="16" t="inlineStr">
        <is>
          <t>Macro Signal</t>
        </is>
      </c>
      <c r="J10" s="17" t="inlineStr">
        <is>
          <t>Thresholds</t>
        </is>
      </c>
      <c r="K10" s="16" t="inlineStr">
        <is>
          <t>Data Date</t>
        </is>
      </c>
      <c r="L10" s="16" t="inlineStr">
        <is>
          <t>Wt</t>
        </is>
      </c>
    </row>
    <row r="11" ht="38" customHeight="1">
      <c r="A11" s="18" t="n">
        <v>1</v>
      </c>
      <c r="B11" s="19" t="inlineStr">
        <is>
          <t>Job Market</t>
        </is>
      </c>
      <c r="C11" s="20" t="inlineStr">
        <is>
          <t>Unemployment Rate</t>
        </is>
      </c>
      <c r="D11" s="21" t="n">
        <v>4.4</v>
      </c>
      <c r="E11" s="22" t="inlineStr">
        <is>
          <t>%</t>
        </is>
      </c>
      <c r="F11" s="23" t="inlineStr">
        <is>
          <t>Moderate unemployment — labour market within historical norms (4–6.5%)</t>
        </is>
      </c>
      <c r="G11" s="23" t="inlineStr">
        <is>
          <t>Neutral  —  Hold rates</t>
        </is>
      </c>
      <c r="H11" s="24" t="inlineStr">
        <is>
          <t>NEUTRAL</t>
        </is>
      </c>
      <c r="I11" s="24" t="inlineStr">
        <is>
          <t>◆  STABLE</t>
        </is>
      </c>
      <c r="J11" s="25" t="inlineStr">
        <is>
          <t>&gt;6.5% Weak  |  4–6.5% Moderate  |  &lt;4% Strong</t>
        </is>
      </c>
      <c r="K11" s="26" t="inlineStr">
        <is>
          <t>2026-02-01</t>
        </is>
      </c>
      <c r="L11" s="27" t="inlineStr">
        <is>
          <t>1x</t>
        </is>
      </c>
    </row>
    <row r="12" ht="38" customHeight="1">
      <c r="A12" s="28" t="n">
        <v>2</v>
      </c>
      <c r="B12" s="19" t="inlineStr">
        <is>
          <t>Job Market</t>
        </is>
      </c>
      <c r="C12" s="29" t="inlineStr">
        <is>
          <t>Initial Jobless Claims</t>
        </is>
      </c>
      <c r="D12" s="30" t="n">
        <v>210500</v>
      </c>
      <c r="E12" s="31" t="inlineStr">
        <is>
          <t>claims</t>
        </is>
      </c>
      <c r="F12" s="32" t="inlineStr">
        <is>
          <t>Low jobless claims reflect a healthy labour market</t>
        </is>
      </c>
      <c r="G12" s="32" t="inlineStr">
        <is>
          <t>Contractionary  —  Hike rates / QT</t>
        </is>
      </c>
      <c r="H12" s="33" t="inlineStr">
        <is>
          <t>EXPANSIONARY</t>
        </is>
      </c>
      <c r="I12" s="33" t="inlineStr">
        <is>
          <t>▲  GROWTH</t>
        </is>
      </c>
      <c r="J12" s="34" t="inlineStr">
        <is>
          <t>&gt;350k Weak  |  250–350k Moderate  |  &lt;250k Strong</t>
        </is>
      </c>
      <c r="K12" s="35" t="inlineStr">
        <is>
          <t>2026-03-21</t>
        </is>
      </c>
      <c r="L12" s="36" t="inlineStr">
        <is>
          <t>2x</t>
        </is>
      </c>
    </row>
    <row r="13" ht="38" customHeight="1">
      <c r="A13" s="18" t="n">
        <v>3</v>
      </c>
      <c r="B13" s="19" t="inlineStr">
        <is>
          <t>Job Market</t>
        </is>
      </c>
      <c r="C13" s="20" t="inlineStr">
        <is>
          <t>Nonfarm Payrolls (MoM k)</t>
        </is>
      </c>
      <c r="D13" s="37" t="n">
        <v>-92</v>
      </c>
      <c r="E13" s="22" t="inlineStr">
        <is>
          <t>k MoM</t>
        </is>
      </c>
      <c r="F13" s="23" t="inlineStr">
        <is>
          <t>Net job losses — economy actively shedding workers</t>
        </is>
      </c>
      <c r="G13" s="23" t="inlineStr">
        <is>
          <t>Expansionary  —  Cut rates / QE</t>
        </is>
      </c>
      <c r="H13" s="38" t="inlineStr">
        <is>
          <t>CONTRACTIONARY</t>
        </is>
      </c>
      <c r="I13" s="38" t="inlineStr">
        <is>
          <t>▼  CAUTION</t>
        </is>
      </c>
      <c r="J13" s="25" t="inlineStr">
        <is>
          <t>&lt;50k Weak  |  50–250k Moderate  |  &gt;250k Strong</t>
        </is>
      </c>
      <c r="K13" s="26" t="inlineStr">
        <is>
          <t>2026-02-01</t>
        </is>
      </c>
      <c r="L13" s="36" t="inlineStr">
        <is>
          <t>1.5x</t>
        </is>
      </c>
    </row>
    <row r="14" ht="38" customHeight="1">
      <c r="A14" s="28" t="n">
        <v>4</v>
      </c>
      <c r="B14" s="39" t="inlineStr">
        <is>
          <t>Inflation</t>
        </is>
      </c>
      <c r="C14" s="29" t="inlineStr">
        <is>
          <t>CPI  (YoY %)</t>
        </is>
      </c>
      <c r="D14" s="40" t="n">
        <v>2.43</v>
      </c>
      <c r="E14" s="31" t="inlineStr">
        <is>
          <t>% YoY</t>
        </is>
      </c>
      <c r="F14" s="32" t="inlineStr">
        <is>
          <t>Inflation near the 2% target (1.5-2.5% range)</t>
        </is>
      </c>
      <c r="G14" s="32" t="inlineStr">
        <is>
          <t>Neutral  —  Hold rates</t>
        </is>
      </c>
      <c r="H14" s="24" t="inlineStr">
        <is>
          <t>NEUTRAL</t>
        </is>
      </c>
      <c r="I14" s="24" t="inlineStr">
        <is>
          <t>◆  STABLE</t>
        </is>
      </c>
      <c r="J14" s="34" t="inlineStr">
        <is>
          <t>&gt;2.5% Elevated  |  1.5-2.5% On Target  |  &lt;1.5% Low</t>
        </is>
      </c>
      <c r="K14" s="35" t="inlineStr">
        <is>
          <t>2026-02-01</t>
        </is>
      </c>
      <c r="L14" s="27" t="inlineStr">
        <is>
          <t>1.5x</t>
        </is>
      </c>
    </row>
    <row r="15" ht="38" customHeight="1">
      <c r="A15" s="18" t="n">
        <v>5</v>
      </c>
      <c r="B15" s="39" t="inlineStr">
        <is>
          <t>Inflation</t>
        </is>
      </c>
      <c r="C15" s="20" t="inlineStr">
        <is>
          <t>Core CPI  (YoY %)</t>
        </is>
      </c>
      <c r="D15" s="40" t="n">
        <v>2.47</v>
      </c>
      <c r="E15" s="22" t="inlineStr">
        <is>
          <t>% YoY</t>
        </is>
      </c>
      <c r="F15" s="23" t="inlineStr">
        <is>
          <t>Core inflation near the 2% target (1.8–2.5% range)</t>
        </is>
      </c>
      <c r="G15" s="23" t="inlineStr">
        <is>
          <t>Neutral  —  Hold rates</t>
        </is>
      </c>
      <c r="H15" s="24" t="inlineStr">
        <is>
          <t>NEUTRAL</t>
        </is>
      </c>
      <c r="I15" s="24" t="inlineStr">
        <is>
          <t>◆  STABLE</t>
        </is>
      </c>
      <c r="J15" s="25" t="inlineStr">
        <is>
          <t>&gt;2.5% Elevated  |  1.8–2.5% On Target  |  &lt;1.8% Low</t>
        </is>
      </c>
      <c r="K15" s="26" t="inlineStr">
        <is>
          <t>2026-02-01</t>
        </is>
      </c>
      <c r="L15" s="27" t="inlineStr">
        <is>
          <t>1.5x</t>
        </is>
      </c>
    </row>
    <row r="16" ht="38" customHeight="1">
      <c r="A16" s="28" t="n">
        <v>6</v>
      </c>
      <c r="B16" s="39" t="inlineStr">
        <is>
          <t>Inflation</t>
        </is>
      </c>
      <c r="C16" s="29" t="inlineStr">
        <is>
          <t>PPI — All Commodities  (MoM %)</t>
        </is>
      </c>
      <c r="D16" s="41" t="n">
        <v>2.08</v>
      </c>
      <c r="E16" s="31" t="inlineStr">
        <is>
          <t>% MoM</t>
        </is>
      </c>
      <c r="F16" s="32" t="inlineStr">
        <is>
          <t>Elevated producer prices likely to feed through to CPI</t>
        </is>
      </c>
      <c r="G16" s="32" t="inlineStr">
        <is>
          <t>Contractionary  —  Hike rates / QT</t>
        </is>
      </c>
      <c r="H16" s="38" t="inlineStr">
        <is>
          <t>CONTRACTIONARY</t>
        </is>
      </c>
      <c r="I16" s="38" t="inlineStr">
        <is>
          <t>▼  CAUTION</t>
        </is>
      </c>
      <c r="J16" s="34" t="inlineStr">
        <is>
          <t>&gt;0.5% Elevated  |  0–0.5% Moderate  |  &lt;0% Falling</t>
        </is>
      </c>
      <c r="K16" s="35" t="inlineStr">
        <is>
          <t>2026-02-01</t>
        </is>
      </c>
      <c r="L16" s="27" t="inlineStr">
        <is>
          <t>1x</t>
        </is>
      </c>
    </row>
    <row r="17" ht="38" customHeight="1">
      <c r="A17" s="18" t="n">
        <v>7</v>
      </c>
      <c r="B17" s="39" t="inlineStr">
        <is>
          <t>Inflation</t>
        </is>
      </c>
      <c r="C17" s="20" t="inlineStr">
        <is>
          <t>CRB Commodity Index (YoY %)</t>
        </is>
      </c>
      <c r="D17" s="40" t="n">
        <v>7.01</v>
      </c>
      <c r="E17" s="22" t="inlineStr">
        <is>
          <t>% YoY</t>
        </is>
      </c>
      <c r="F17" s="23" t="inlineStr">
        <is>
          <t>Commodity price growth within normal range (-10% to +10%)</t>
        </is>
      </c>
      <c r="G17" s="23" t="inlineStr">
        <is>
          <t>Neutral  —  Hold rates</t>
        </is>
      </c>
      <c r="H17" s="24" t="inlineStr">
        <is>
          <t>NEUTRAL</t>
        </is>
      </c>
      <c r="I17" s="24" t="inlineStr">
        <is>
          <t>◆  STABLE</t>
        </is>
      </c>
      <c r="J17" s="25" t="inlineStr">
        <is>
          <t>&gt;10% Elevated  |  -10% to 10% Normal  |  &lt;-10% Falling</t>
        </is>
      </c>
      <c r="K17" s="26" t="inlineStr">
        <is>
          <t>2026-02-01</t>
        </is>
      </c>
      <c r="L17" s="27" t="inlineStr">
        <is>
          <t>1.5x</t>
        </is>
      </c>
    </row>
    <row r="18" ht="38" customHeight="1">
      <c r="A18" s="28" t="n">
        <v>8</v>
      </c>
      <c r="B18" s="42" t="inlineStr">
        <is>
          <t>Economic Activities</t>
        </is>
      </c>
      <c r="C18" s="29" t="inlineStr">
        <is>
          <t>ISM Manufacturing PMI</t>
        </is>
      </c>
      <c r="D18" s="43" t="n">
        <v>52.4</v>
      </c>
      <c r="E18" s="31" t="inlineStr">
        <is>
          <t>index</t>
        </is>
      </c>
      <c r="F18" s="32" t="inlineStr">
        <is>
          <t>Moderate manufacturing expansion — reading between 50 and 56</t>
        </is>
      </c>
      <c r="G18" s="32" t="inlineStr">
        <is>
          <t>Neutral  —  Hold rates</t>
        </is>
      </c>
      <c r="H18" s="24" t="inlineStr">
        <is>
          <t>NEUTRAL</t>
        </is>
      </c>
      <c r="I18" s="24" t="inlineStr">
        <is>
          <t>◆  STABLE</t>
        </is>
      </c>
      <c r="J18" s="34" t="inlineStr">
        <is>
          <t>&gt;56 Strong  |  50–56 Moderate  |  &lt;50 Contraction</t>
        </is>
      </c>
      <c r="K18" s="35" t="inlineStr">
        <is>
          <t>2026-02-01</t>
        </is>
      </c>
      <c r="L18" s="36" t="inlineStr">
        <is>
          <t>2x</t>
        </is>
      </c>
    </row>
    <row r="19" ht="38" customHeight="1">
      <c r="A19" s="18" t="n">
        <v>9</v>
      </c>
      <c r="B19" s="42" t="inlineStr">
        <is>
          <t>Economic Activities</t>
        </is>
      </c>
      <c r="C19" s="20" t="inlineStr">
        <is>
          <t>ISM Non-Manufacturing PMI</t>
        </is>
      </c>
      <c r="D19" s="44" t="n">
        <v>56.1</v>
      </c>
      <c r="E19" s="22" t="inlineStr">
        <is>
          <t>index</t>
        </is>
      </c>
      <c r="F19" s="23" t="inlineStr">
        <is>
          <t>Strong services expansion — reading above 56</t>
        </is>
      </c>
      <c r="G19" s="23" t="inlineStr">
        <is>
          <t>Contractionary  —  Hike rates / QT</t>
        </is>
      </c>
      <c r="H19" s="33" t="inlineStr">
        <is>
          <t>EXPANSIONARY</t>
        </is>
      </c>
      <c r="I19" s="33" t="inlineStr">
        <is>
          <t>▲  GROWTH</t>
        </is>
      </c>
      <c r="J19" s="25" t="inlineStr">
        <is>
          <t>&gt;56 Strong  |  50–56 Moderate  |  &lt;50 Contraction</t>
        </is>
      </c>
      <c r="K19" s="26" t="inlineStr">
        <is>
          <t>2026-02-01</t>
        </is>
      </c>
      <c r="L19" s="36" t="inlineStr">
        <is>
          <t>2x</t>
        </is>
      </c>
    </row>
    <row r="20" ht="38" customHeight="1">
      <c r="A20" s="28" t="n">
        <v>10</v>
      </c>
      <c r="B20" s="42" t="inlineStr">
        <is>
          <t>Economic Activities</t>
        </is>
      </c>
      <c r="C20" s="29" t="inlineStr">
        <is>
          <t>Chicago PMI  (Regional)</t>
        </is>
      </c>
      <c r="D20" s="44" t="n">
        <v>57.7</v>
      </c>
      <c r="E20" s="31" t="inlineStr">
        <is>
          <t>index</t>
        </is>
      </c>
      <c r="F20" s="32" t="inlineStr">
        <is>
          <t>Strong Chicago-area business activity — reading above 56</t>
        </is>
      </c>
      <c r="G20" s="32" t="inlineStr">
        <is>
          <t>Contractionary  —  Hike rates / QT</t>
        </is>
      </c>
      <c r="H20" s="33" t="inlineStr">
        <is>
          <t>EXPANSIONARY</t>
        </is>
      </c>
      <c r="I20" s="33" t="inlineStr">
        <is>
          <t>▲  GROWTH</t>
        </is>
      </c>
      <c r="J20" s="34" t="inlineStr">
        <is>
          <t>&gt;56 Strong  |  50–56 Moderate  |  &lt;50 Contraction</t>
        </is>
      </c>
      <c r="K20" s="35" t="inlineStr">
        <is>
          <t>2026-02-01</t>
        </is>
      </c>
      <c r="L20" s="27" t="inlineStr">
        <is>
          <t>1x</t>
        </is>
      </c>
    </row>
    <row r="21" ht="38" customHeight="1">
      <c r="A21" s="18" t="n">
        <v>11</v>
      </c>
      <c r="B21" s="42" t="inlineStr">
        <is>
          <t>Economic Activities</t>
        </is>
      </c>
      <c r="C21" s="20" t="inlineStr">
        <is>
          <t>Consumer Sentiment (UoM)</t>
        </is>
      </c>
      <c r="D21" s="45" t="n">
        <v>56.6</v>
      </c>
      <c r="E21" s="22" t="inlineStr">
        <is>
          <t>index</t>
        </is>
      </c>
      <c r="F21" s="23" t="inlineStr">
        <is>
          <t>Consumer sentiment depressed — households stressed, spending at risk</t>
        </is>
      </c>
      <c r="G21" s="23" t="inlineStr">
        <is>
          <t>Expansionary  —  Cut rates / QE</t>
        </is>
      </c>
      <c r="H21" s="38" t="inlineStr">
        <is>
          <t>CONTRACTIONARY</t>
        </is>
      </c>
      <c r="I21" s="38" t="inlineStr">
        <is>
          <t>▼  CAUTION</t>
        </is>
      </c>
      <c r="J21" s="25" t="inlineStr">
        <is>
          <t>&gt;90 High  |  65–90 Moderate  |  &lt;65 Low</t>
        </is>
      </c>
      <c r="K21" s="26" t="inlineStr">
        <is>
          <t>2026-02-01</t>
        </is>
      </c>
      <c r="L21" s="27" t="inlineStr">
        <is>
          <t>1x</t>
        </is>
      </c>
    </row>
    <row r="22" ht="38" customHeight="1">
      <c r="A22" s="28" t="n">
        <v>12</v>
      </c>
      <c r="B22" s="46" t="inlineStr">
        <is>
          <t>Leading Indicators</t>
        </is>
      </c>
      <c r="C22" s="29" t="inlineStr">
        <is>
          <t>HY Credit Spread (OAS %)</t>
        </is>
      </c>
      <c r="D22" s="47" t="n">
        <v>3.1873</v>
      </c>
      <c r="E22" s="31" t="inlineStr">
        <is>
          <t>% OAS</t>
        </is>
      </c>
      <c r="F22" s="32" t="inlineStr">
        <is>
          <t>HY spreads tight — strong risk appetite, credit freely available</t>
        </is>
      </c>
      <c r="G22" s="32" t="inlineStr">
        <is>
          <t>Contractionary  —  Hike rates / QT</t>
        </is>
      </c>
      <c r="H22" s="33" t="inlineStr">
        <is>
          <t>EXPANSIONARY</t>
        </is>
      </c>
      <c r="I22" s="33" t="inlineStr">
        <is>
          <t>▲  GROWTH</t>
        </is>
      </c>
      <c r="J22" s="34" t="inlineStr">
        <is>
          <t>&gt;5.0% Stress  |  3.5–5.0% Normal  |  &lt;3.5% Tight</t>
        </is>
      </c>
      <c r="K22" s="35" t="inlineStr">
        <is>
          <t>2026-03-01</t>
        </is>
      </c>
      <c r="L22" s="48" t="inlineStr">
        <is>
          <t>3x</t>
        </is>
      </c>
    </row>
    <row r="23" ht="38" customHeight="1">
      <c r="A23" s="18" t="n">
        <v>13</v>
      </c>
      <c r="B23" s="46" t="inlineStr">
        <is>
          <t>Leading Indicators</t>
        </is>
      </c>
      <c r="C23" s="20" t="inlineStr">
        <is>
          <t>IG Credit Spread (OAS %)</t>
        </is>
      </c>
      <c r="D23" s="47" t="n">
        <v>0.8804999999999999</v>
      </c>
      <c r="E23" s="22" t="inlineStr">
        <is>
          <t>% OAS</t>
        </is>
      </c>
      <c r="F23" s="23" t="inlineStr">
        <is>
          <t>IG spreads tight — benign credit conditions</t>
        </is>
      </c>
      <c r="G23" s="23" t="inlineStr">
        <is>
          <t>Contractionary  —  Hike rates / QT</t>
        </is>
      </c>
      <c r="H23" s="33" t="inlineStr">
        <is>
          <t>EXPANSIONARY</t>
        </is>
      </c>
      <c r="I23" s="33" t="inlineStr">
        <is>
          <t>▲  GROWTH</t>
        </is>
      </c>
      <c r="J23" s="25" t="inlineStr">
        <is>
          <t>&gt;1.5% Stress  |  1.0–1.5% Normal  |  &lt;1.0% Benign</t>
        </is>
      </c>
      <c r="K23" s="26" t="inlineStr">
        <is>
          <t>2026-03-01</t>
        </is>
      </c>
      <c r="L23" s="48" t="inlineStr">
        <is>
          <t>2x</t>
        </is>
      </c>
    </row>
    <row r="24" ht="38" customHeight="1">
      <c r="A24" s="28" t="n">
        <v>14</v>
      </c>
      <c r="B24" s="46" t="inlineStr">
        <is>
          <t>Leading Indicators</t>
        </is>
      </c>
      <c r="C24" s="29" t="inlineStr">
        <is>
          <t>Yield Curve (10Y–3M)</t>
        </is>
      </c>
      <c r="D24" s="49" t="n">
        <v>0.5268</v>
      </c>
      <c r="E24" s="31" t="inlineStr">
        <is>
          <t>% spread</t>
        </is>
      </c>
      <c r="F24" s="32" t="inlineStr">
        <is>
          <t>Yield curve flat to mildly positive — transition zone</t>
        </is>
      </c>
      <c r="G24" s="32" t="inlineStr">
        <is>
          <t>Neutral  —  Hold rates</t>
        </is>
      </c>
      <c r="H24" s="24" t="inlineStr">
        <is>
          <t>NEUTRAL</t>
        </is>
      </c>
      <c r="I24" s="24" t="inlineStr">
        <is>
          <t>◆  STABLE</t>
        </is>
      </c>
      <c r="J24" s="34" t="inlineStr">
        <is>
          <t>&lt;0 Inverted  |  0–1.0 Flat  |  &gt;1.0 Steep</t>
        </is>
      </c>
      <c r="K24" s="35" t="inlineStr">
        <is>
          <t>2026-03-01</t>
        </is>
      </c>
      <c r="L24" s="48" t="inlineStr">
        <is>
          <t>3x</t>
        </is>
      </c>
    </row>
    <row r="25" ht="38" customHeight="1">
      <c r="A25" s="18" t="n">
        <v>15</v>
      </c>
      <c r="B25" s="46" t="inlineStr">
        <is>
          <t>Leading Indicators</t>
        </is>
      </c>
      <c r="C25" s="20" t="inlineStr">
        <is>
          <t>Building Permits (YoY %)</t>
        </is>
      </c>
      <c r="D25" s="50" t="n">
        <v>-5.07</v>
      </c>
      <c r="E25" s="22" t="inlineStr">
        <is>
          <t>% YoY</t>
        </is>
      </c>
      <c r="F25" s="23" t="inlineStr">
        <is>
          <t>Building permits growth within normal range (-10% to +5%)</t>
        </is>
      </c>
      <c r="G25" s="23" t="inlineStr">
        <is>
          <t>Neutral  —  Hold rates</t>
        </is>
      </c>
      <c r="H25" s="24" t="inlineStr">
        <is>
          <t>NEUTRAL</t>
        </is>
      </c>
      <c r="I25" s="24" t="inlineStr">
        <is>
          <t>◆  STABLE</t>
        </is>
      </c>
      <c r="J25" s="25" t="inlineStr">
        <is>
          <t>&lt;-10% Falling  |  -10 to 5% Normal  |  &gt;5% Rising</t>
        </is>
      </c>
      <c r="K25" s="26" t="inlineStr">
        <is>
          <t>2026-01-01</t>
        </is>
      </c>
      <c r="L25" s="48" t="inlineStr">
        <is>
          <t>3x</t>
        </is>
      </c>
    </row>
    <row r="26" ht="38" customHeight="1">
      <c r="A26" s="28" t="n">
        <v>16</v>
      </c>
      <c r="B26" s="46" t="inlineStr">
        <is>
          <t>Leading Indicators</t>
        </is>
      </c>
      <c r="C26" s="29" t="inlineStr">
        <is>
          <t>JOLTS Job Openings (YoY %)</t>
        </is>
      </c>
      <c r="D26" s="50" t="n">
        <v>-4.97</v>
      </c>
      <c r="E26" s="31" t="inlineStr">
        <is>
          <t>% YoY</t>
        </is>
      </c>
      <c r="F26" s="32" t="inlineStr">
        <is>
          <t>Job openings growth within normal range</t>
        </is>
      </c>
      <c r="G26" s="32" t="inlineStr">
        <is>
          <t>Neutral  —  Hold rates</t>
        </is>
      </c>
      <c r="H26" s="24" t="inlineStr">
        <is>
          <t>NEUTRAL</t>
        </is>
      </c>
      <c r="I26" s="24" t="inlineStr">
        <is>
          <t>◆  STABLE</t>
        </is>
      </c>
      <c r="J26" s="34" t="inlineStr">
        <is>
          <t>&lt;-15% Falling  |  Normal  |  &gt;10% Rising</t>
        </is>
      </c>
      <c r="K26" s="35" t="inlineStr">
        <is>
          <t>2026-02-01</t>
        </is>
      </c>
      <c r="L26" s="48" t="inlineStr">
        <is>
          <t>2x</t>
        </is>
      </c>
    </row>
    <row r="27" ht="38" customHeight="1">
      <c r="A27" s="18" t="n">
        <v>17</v>
      </c>
      <c r="B27" s="46" t="inlineStr">
        <is>
          <t>Leading Indicators</t>
        </is>
      </c>
      <c r="C27" s="20" t="inlineStr">
        <is>
          <t>JOLTS Quits Rate (%)</t>
        </is>
      </c>
      <c r="D27" s="51" t="n">
        <v>1.9</v>
      </c>
      <c r="E27" s="22" t="inlineStr">
        <is>
          <t>%</t>
        </is>
      </c>
      <c r="F27" s="23" t="inlineStr">
        <is>
          <t>Quits rate below 2% — workers lack confidence, labour market cooling</t>
        </is>
      </c>
      <c r="G27" s="23" t="inlineStr">
        <is>
          <t>Expansionary  —  Cut rates / QE</t>
        </is>
      </c>
      <c r="H27" s="38" t="inlineStr">
        <is>
          <t>CONTRACTIONARY</t>
        </is>
      </c>
      <c r="I27" s="38" t="inlineStr">
        <is>
          <t>▼  CAUTION</t>
        </is>
      </c>
      <c r="J27" s="25" t="inlineStr">
        <is>
          <t>&lt;2.0% Low  |  2.0–2.5% Normal  |  &gt;2.5% High</t>
        </is>
      </c>
      <c r="K27" s="26" t="inlineStr">
        <is>
          <t>2026-02-01</t>
        </is>
      </c>
      <c r="L27" s="48" t="inlineStr">
        <is>
          <t>2x</t>
        </is>
      </c>
    </row>
    <row r="28" ht="38" customHeight="1">
      <c r="A28" s="28" t="n">
        <v>18</v>
      </c>
      <c r="B28" s="46" t="inlineStr">
        <is>
          <t>Leading Indicators</t>
        </is>
      </c>
      <c r="C28" s="29" t="inlineStr">
        <is>
          <t>10Y Breakeven Inflation</t>
        </is>
      </c>
      <c r="D28" s="40" t="n">
        <v>2.3368</v>
      </c>
      <c r="E28" s="31" t="inlineStr">
        <is>
          <t>%</t>
        </is>
      </c>
      <c r="F28" s="32" t="inlineStr">
        <is>
          <t>Breakeven inflation near 2% target — inflation expectations anchored</t>
        </is>
      </c>
      <c r="G28" s="32" t="inlineStr">
        <is>
          <t>Neutral  —  Hold rates</t>
        </is>
      </c>
      <c r="H28" s="24" t="inlineStr">
        <is>
          <t>NEUTRAL</t>
        </is>
      </c>
      <c r="I28" s="24" t="inlineStr">
        <is>
          <t>◆  STABLE</t>
        </is>
      </c>
      <c r="J28" s="34" t="inlineStr">
        <is>
          <t>&lt;1.8% Deflationary  |  1.8–2.5% Anchored  |  &gt;2.5% Elevated</t>
        </is>
      </c>
      <c r="K28" s="35" t="inlineStr">
        <is>
          <t>2026-03-01</t>
        </is>
      </c>
      <c r="L28" s="48" t="inlineStr">
        <is>
          <t>2.5x</t>
        </is>
      </c>
    </row>
    <row r="29" ht="38" customHeight="1">
      <c r="A29" s="18" t="n">
        <v>19</v>
      </c>
      <c r="B29" s="46" t="inlineStr">
        <is>
          <t>Leading Indicators</t>
        </is>
      </c>
      <c r="C29" s="20" t="inlineStr">
        <is>
          <t>Chicago Fed Natl Activity</t>
        </is>
      </c>
      <c r="D29" s="49" t="n">
        <v>-0.11</v>
      </c>
      <c r="E29" s="22" t="inlineStr">
        <is>
          <t>index</t>
        </is>
      </c>
      <c r="F29" s="23" t="inlineStr">
        <is>
          <t>CFNAI near zero — economy growing at or near trend</t>
        </is>
      </c>
      <c r="G29" s="23" t="inlineStr">
        <is>
          <t>Neutral  —  Hold rates</t>
        </is>
      </c>
      <c r="H29" s="24" t="inlineStr">
        <is>
          <t>NEUTRAL</t>
        </is>
      </c>
      <c r="I29" s="24" t="inlineStr">
        <is>
          <t>◆  STABLE</t>
        </is>
      </c>
      <c r="J29" s="25" t="inlineStr">
        <is>
          <t>&lt;-0.7 Recession  |  -0.7 to 0.2 Trend  |  &gt;0.2 Above Trend</t>
        </is>
      </c>
      <c r="K29" s="26" t="inlineStr">
        <is>
          <t>2026-02-01</t>
        </is>
      </c>
      <c r="L29" s="48" t="inlineStr">
        <is>
          <t>2.5x</t>
        </is>
      </c>
    </row>
    <row r="30" ht="38" customHeight="1">
      <c r="A30" s="28" t="n">
        <v>20</v>
      </c>
      <c r="B30" s="46" t="inlineStr">
        <is>
          <t>Leading Indicators</t>
        </is>
      </c>
      <c r="C30" s="29" t="inlineStr">
        <is>
          <t>Policy Uncertainty (EPU)</t>
        </is>
      </c>
      <c r="D30" s="45" t="n">
        <v>407.4855</v>
      </c>
      <c r="E30" s="31" t="inlineStr">
        <is>
          <t>index</t>
        </is>
      </c>
      <c r="F30" s="32" t="inlineStr">
        <is>
          <t>Extreme policy uncertainty — crisis-level (historically: GFC, COVID, trade wars)</t>
        </is>
      </c>
      <c r="G30" s="32" t="inlineStr">
        <is>
          <t>Expansionary  —  Cut rates / QE</t>
        </is>
      </c>
      <c r="H30" s="38" t="inlineStr">
        <is>
          <t>CONTRACTIONARY</t>
        </is>
      </c>
      <c r="I30" s="38" t="inlineStr">
        <is>
          <t>▼  CAUTION</t>
        </is>
      </c>
      <c r="J30" s="34" t="inlineStr">
        <is>
          <t>&gt;200 Extreme  |  130–200 Elevated  |  &lt;80 Low</t>
        </is>
      </c>
      <c r="K30" s="35" t="inlineStr">
        <is>
          <t>2026-03-01</t>
        </is>
      </c>
      <c r="L30" s="48" t="inlineStr">
        <is>
          <t>2.5x</t>
        </is>
      </c>
    </row>
    <row r="31" ht="6" customHeight="1"/>
    <row r="32" ht="30" customHeight="1">
      <c r="A32" s="14" t="inlineStr">
        <is>
          <t>DFM FACTORS</t>
        </is>
      </c>
      <c r="B32" s="3" t="n"/>
      <c r="C32" s="11" t="inlineStr">
        <is>
          <t>GROWTH -0.33 ▲ NEUTRAL</t>
        </is>
      </c>
      <c r="D32" s="2" t="n"/>
      <c r="E32" s="3" t="n"/>
      <c r="F32" s="12" t="inlineStr">
        <is>
          <t>CREDIT -0.80 ▲ SUPPORTIVE</t>
        </is>
      </c>
      <c r="G32" s="3" t="n"/>
      <c r="H32" s="11" t="inlineStr">
        <is>
          <t>INFLATION -0.34 → MODERATE</t>
        </is>
      </c>
      <c r="I32" s="2" t="n"/>
      <c r="J32" s="3" t="n"/>
      <c r="K32" s="52" t="inlineStr">
        <is>
          <t>DFM: DEFLATION</t>
        </is>
      </c>
      <c r="L32" s="3" t="n"/>
    </row>
    <row r="33" ht="6" customHeight="1"/>
    <row r="34" ht="22" customHeight="1">
      <c r="A34" s="53" t="inlineStr">
        <is>
          <t xml:space="preserve">  SECTOR PLAYBOOK  --  'Stagflation' Regime     |     STYLE: EASIER POLICY -- Small Cap &gt; Growth &gt; Cyclical</t>
        </is>
      </c>
      <c r="B34" s="2" t="n"/>
      <c r="C34" s="2" t="n"/>
      <c r="D34" s="2" t="n"/>
      <c r="E34" s="2" t="n"/>
      <c r="F34" s="2" t="n"/>
      <c r="G34" s="2" t="n"/>
      <c r="H34" s="2" t="n"/>
      <c r="I34" s="2" t="n"/>
      <c r="J34" s="2" t="n"/>
      <c r="K34" s="2" t="n"/>
      <c r="L34" s="3" t="n"/>
    </row>
    <row r="35" ht="20" customHeight="1">
      <c r="A35" s="54" t="inlineStr">
        <is>
          <t>#</t>
        </is>
      </c>
      <c r="B35" s="55" t="inlineStr">
        <is>
          <t>SECTOR</t>
        </is>
      </c>
      <c r="C35" s="56" t="n"/>
      <c r="D35" s="56" t="n"/>
      <c r="E35" s="56" t="n"/>
      <c r="F35" s="55" t="inlineStr">
        <is>
          <t>AVG RETURN</t>
        </is>
      </c>
      <c r="G35" s="56" t="n"/>
      <c r="H35" s="56" t="n"/>
      <c r="I35" s="55" t="inlineStr">
        <is>
          <t>SIGNAL</t>
        </is>
      </c>
      <c r="J35" s="56" t="n"/>
      <c r="K35" s="56" t="n"/>
      <c r="L35" s="57" t="n"/>
    </row>
    <row r="36" ht="18" customHeight="1">
      <c r="A36" s="58" t="n">
        <v>1</v>
      </c>
      <c r="B36" s="59" t="inlineStr">
        <is>
          <t>Healthcare</t>
        </is>
      </c>
      <c r="C36" s="60" t="n"/>
      <c r="D36" s="60" t="n"/>
      <c r="E36" s="60" t="n"/>
      <c r="F36" s="61" t="inlineStr">
        <is>
          <t>+8%</t>
        </is>
      </c>
      <c r="G36" s="60" t="n"/>
      <c r="H36" s="60" t="n"/>
      <c r="I36" s="33" t="inlineStr">
        <is>
          <t>OVERWEIGHT</t>
        </is>
      </c>
      <c r="J36" s="60" t="n"/>
      <c r="K36" s="60" t="n"/>
      <c r="L36" s="62" t="n"/>
    </row>
    <row r="37" ht="18" customHeight="1">
      <c r="A37" s="63" t="n">
        <v>2</v>
      </c>
      <c r="B37" s="64" t="inlineStr">
        <is>
          <t>Real Estate</t>
        </is>
      </c>
      <c r="C37" s="60" t="n"/>
      <c r="D37" s="60" t="n"/>
      <c r="E37" s="60" t="n"/>
      <c r="F37" s="61" t="inlineStr">
        <is>
          <t>+6%</t>
        </is>
      </c>
      <c r="G37" s="60" t="n"/>
      <c r="H37" s="60" t="n"/>
      <c r="I37" s="33" t="inlineStr">
        <is>
          <t>OVERWEIGHT</t>
        </is>
      </c>
      <c r="J37" s="60" t="n"/>
      <c r="K37" s="60" t="n"/>
      <c r="L37" s="62" t="n"/>
    </row>
    <row r="38" ht="18" customHeight="1">
      <c r="A38" s="58" t="n">
        <v>3</v>
      </c>
      <c r="B38" s="59" t="inlineStr">
        <is>
          <t>Materials</t>
        </is>
      </c>
      <c r="C38" s="60" t="n"/>
      <c r="D38" s="60" t="n"/>
      <c r="E38" s="60" t="n"/>
      <c r="F38" s="65" t="inlineStr">
        <is>
          <t>+5%</t>
        </is>
      </c>
      <c r="G38" s="60" t="n"/>
      <c r="H38" s="60" t="n"/>
      <c r="I38" s="33" t="inlineStr">
        <is>
          <t>OVERWEIGHT</t>
        </is>
      </c>
      <c r="J38" s="60" t="n"/>
      <c r="K38" s="60" t="n"/>
      <c r="L38" s="62" t="n"/>
    </row>
    <row r="39" ht="18" customHeight="1">
      <c r="A39" s="63" t="n">
        <v>4</v>
      </c>
      <c r="B39" s="66" t="inlineStr">
        <is>
          <t>Energy</t>
        </is>
      </c>
      <c r="C39" s="60" t="n"/>
      <c r="D39" s="60" t="n"/>
      <c r="E39" s="60" t="n"/>
      <c r="F39" s="65" t="inlineStr">
        <is>
          <t>+5%</t>
        </is>
      </c>
      <c r="G39" s="60" t="n"/>
      <c r="H39" s="60" t="n"/>
      <c r="I39" s="33" t="inlineStr">
        <is>
          <t>OVERWEIGHT</t>
        </is>
      </c>
      <c r="J39" s="60" t="n"/>
      <c r="K39" s="60" t="n"/>
      <c r="L39" s="62" t="n"/>
    </row>
    <row r="40" ht="18" customHeight="1">
      <c r="A40" s="58" t="n">
        <v>5</v>
      </c>
      <c r="B40" s="67" t="inlineStr">
        <is>
          <t>Technology</t>
        </is>
      </c>
      <c r="C40" s="60" t="n"/>
      <c r="D40" s="60" t="n"/>
      <c r="E40" s="60" t="n"/>
      <c r="F40" s="65" t="inlineStr">
        <is>
          <t>+3%</t>
        </is>
      </c>
      <c r="G40" s="60" t="n"/>
      <c r="H40" s="60" t="n"/>
      <c r="I40" s="33" t="inlineStr">
        <is>
          <t>OVERWEIGHT</t>
        </is>
      </c>
      <c r="J40" s="60" t="n"/>
      <c r="K40" s="60" t="n"/>
      <c r="L40" s="62" t="n"/>
    </row>
    <row r="41" ht="18" customHeight="1">
      <c r="A41" s="63" t="n">
        <v>6</v>
      </c>
      <c r="B41" s="66" t="inlineStr">
        <is>
          <t>Industrials</t>
        </is>
      </c>
      <c r="C41" s="60" t="n"/>
      <c r="D41" s="60" t="n"/>
      <c r="E41" s="60" t="n"/>
      <c r="F41" s="65" t="inlineStr">
        <is>
          <t>+3%</t>
        </is>
      </c>
      <c r="G41" s="60" t="n"/>
      <c r="H41" s="60" t="n"/>
      <c r="I41" s="33" t="inlineStr">
        <is>
          <t>OVERWEIGHT</t>
        </is>
      </c>
      <c r="J41" s="60" t="n"/>
      <c r="K41" s="60" t="n"/>
      <c r="L41" s="62" t="n"/>
    </row>
    <row r="42" ht="18" customHeight="1">
      <c r="A42" s="58" t="n">
        <v>7</v>
      </c>
      <c r="B42" s="67" t="inlineStr">
        <is>
          <t>Utilities</t>
        </is>
      </c>
      <c r="C42" s="60" t="n"/>
      <c r="D42" s="60" t="n"/>
      <c r="E42" s="60" t="n"/>
      <c r="F42" s="65" t="inlineStr">
        <is>
          <t>+2%</t>
        </is>
      </c>
      <c r="G42" s="60" t="n"/>
      <c r="H42" s="60" t="n"/>
      <c r="I42" s="24" t="inlineStr">
        <is>
          <t>NEUTRAL</t>
        </is>
      </c>
      <c r="J42" s="60" t="n"/>
      <c r="K42" s="60" t="n"/>
      <c r="L42" s="62" t="n"/>
    </row>
    <row r="43" ht="18" customHeight="1">
      <c r="A43" s="63" t="n">
        <v>8</v>
      </c>
      <c r="B43" s="66" t="inlineStr">
        <is>
          <t>Consumer Staples</t>
        </is>
      </c>
      <c r="C43" s="60" t="n"/>
      <c r="D43" s="60" t="n"/>
      <c r="E43" s="60" t="n"/>
      <c r="F43" s="65" t="inlineStr">
        <is>
          <t>+1%</t>
        </is>
      </c>
      <c r="G43" s="60" t="n"/>
      <c r="H43" s="60" t="n"/>
      <c r="I43" s="24" t="inlineStr">
        <is>
          <t>NEUTRAL</t>
        </is>
      </c>
      <c r="J43" s="60" t="n"/>
      <c r="K43" s="60" t="n"/>
      <c r="L43" s="62" t="n"/>
    </row>
    <row r="44" ht="18" customHeight="1">
      <c r="A44" s="58" t="n">
        <v>9</v>
      </c>
      <c r="B44" s="67" t="inlineStr">
        <is>
          <t>Consumer Cyclical</t>
        </is>
      </c>
      <c r="C44" s="60" t="n"/>
      <c r="D44" s="60" t="n"/>
      <c r="E44" s="60" t="n"/>
      <c r="F44" s="65" t="inlineStr">
        <is>
          <t>+1%</t>
        </is>
      </c>
      <c r="G44" s="60" t="n"/>
      <c r="H44" s="60" t="n"/>
      <c r="I44" s="24" t="inlineStr">
        <is>
          <t>NEUTRAL</t>
        </is>
      </c>
      <c r="J44" s="60" t="n"/>
      <c r="K44" s="60" t="n"/>
      <c r="L44" s="62" t="n"/>
    </row>
    <row r="45" ht="18" customHeight="1">
      <c r="A45" s="63" t="n">
        <v>10</v>
      </c>
      <c r="B45" s="66" t="inlineStr">
        <is>
          <t>Communications</t>
        </is>
      </c>
      <c r="C45" s="60" t="n"/>
      <c r="D45" s="60" t="n"/>
      <c r="E45" s="60" t="n"/>
      <c r="F45" s="68" t="inlineStr">
        <is>
          <t>-1%</t>
        </is>
      </c>
      <c r="G45" s="60" t="n"/>
      <c r="H45" s="60" t="n"/>
      <c r="I45" s="38" t="inlineStr">
        <is>
          <t>UNDERWEIGHT</t>
        </is>
      </c>
      <c r="J45" s="60" t="n"/>
      <c r="K45" s="60" t="n"/>
      <c r="L45" s="62" t="n"/>
    </row>
    <row r="46" ht="18" customHeight="1">
      <c r="A46" s="69" t="n">
        <v>11</v>
      </c>
      <c r="B46" s="70" t="inlineStr">
        <is>
          <t>Financials</t>
        </is>
      </c>
      <c r="C46" s="71" t="n"/>
      <c r="D46" s="71" t="n"/>
      <c r="E46" s="71" t="n"/>
      <c r="F46" s="72" t="inlineStr">
        <is>
          <t>-1%</t>
        </is>
      </c>
      <c r="G46" s="71" t="n"/>
      <c r="H46" s="71" t="n"/>
      <c r="I46" s="73" t="inlineStr">
        <is>
          <t>UNDERWEIGHT</t>
        </is>
      </c>
      <c r="J46" s="71" t="n"/>
      <c r="K46" s="71" t="n"/>
      <c r="L46" s="74" t="n"/>
    </row>
    <row r="47" ht="6" customHeight="1"/>
    <row r="48" ht="20" customHeight="1">
      <c r="A48" s="75" t="inlineStr">
        <is>
          <t>BACKTEST (12M fwd)</t>
        </is>
      </c>
      <c r="B48" s="2" t="n"/>
      <c r="C48" s="2" t="n"/>
      <c r="D48" s="3" t="n"/>
      <c r="E48" s="76" t="inlineStr">
        <is>
          <t>Early Recovery +19%</t>
        </is>
      </c>
      <c r="F48" s="3" t="n"/>
      <c r="G48" s="76" t="inlineStr">
        <is>
          <t>Reflation +9%</t>
        </is>
      </c>
      <c r="H48" s="3" t="n"/>
      <c r="I48" s="77" t="inlineStr">
        <is>
          <t>Stagflation -3%</t>
        </is>
      </c>
      <c r="J48" s="3" t="n"/>
      <c r="K48" s="76" t="inlineStr">
        <is>
          <t>Deflation +26%</t>
        </is>
      </c>
      <c r="L48" s="3" t="n"/>
    </row>
    <row r="49" ht="6" customHeight="1"/>
    <row r="50" ht="20" customHeight="1">
      <c r="A50" s="78" t="inlineStr">
        <is>
          <t xml:space="preserve">  CONVICTION: HIGH  --  Full regime allocation recommended</t>
        </is>
      </c>
      <c r="B50" s="2" t="n"/>
      <c r="C50" s="2" t="n"/>
      <c r="D50" s="2" t="n"/>
      <c r="E50" s="2" t="n"/>
      <c r="F50" s="2" t="n"/>
      <c r="G50" s="2" t="n"/>
      <c r="H50" s="2" t="n"/>
      <c r="I50" s="2" t="n"/>
      <c r="J50" s="2" t="n"/>
      <c r="K50" s="2" t="n"/>
      <c r="L50" s="3" t="n"/>
    </row>
  </sheetData>
  <mergeCells count="71">
    <mergeCell ref="J6:L6"/>
    <mergeCell ref="B40:E40"/>
    <mergeCell ref="L9"/>
    <mergeCell ref="A35"/>
    <mergeCell ref="F36:H36"/>
    <mergeCell ref="G6:I6"/>
    <mergeCell ref="I39:L39"/>
    <mergeCell ref="F42:H42"/>
    <mergeCell ref="I44:L44"/>
    <mergeCell ref="F41:H41"/>
    <mergeCell ref="F45:H45"/>
    <mergeCell ref="I35:L35"/>
    <mergeCell ref="I4:L4"/>
    <mergeCell ref="C9:E9"/>
    <mergeCell ref="F35:H35"/>
    <mergeCell ref="I38:L38"/>
    <mergeCell ref="D7:F7"/>
    <mergeCell ref="E48:F48"/>
    <mergeCell ref="G48:H48"/>
    <mergeCell ref="B36:E36"/>
    <mergeCell ref="A50:L50"/>
    <mergeCell ref="J7:L7"/>
    <mergeCell ref="F38:H38"/>
    <mergeCell ref="A2:L2"/>
    <mergeCell ref="H32:J32"/>
    <mergeCell ref="B41:E41"/>
    <mergeCell ref="B45:E45"/>
    <mergeCell ref="B35:E35"/>
    <mergeCell ref="I40:L40"/>
    <mergeCell ref="A5:C5"/>
    <mergeCell ref="G5:I5"/>
    <mergeCell ref="F46:H46"/>
    <mergeCell ref="A48:D48"/>
    <mergeCell ref="K32:L32"/>
    <mergeCell ref="F43:H43"/>
    <mergeCell ref="I46:L46"/>
    <mergeCell ref="F9:H9"/>
    <mergeCell ref="F32:G32"/>
    <mergeCell ref="F37:H37"/>
    <mergeCell ref="F39:H39"/>
    <mergeCell ref="B46:E46"/>
    <mergeCell ref="C32:E32"/>
    <mergeCell ref="I45:L45"/>
    <mergeCell ref="I36:L36"/>
    <mergeCell ref="D5:F5"/>
    <mergeCell ref="B43:E43"/>
    <mergeCell ref="I9:K9"/>
    <mergeCell ref="A32:B32"/>
    <mergeCell ref="B39:E39"/>
    <mergeCell ref="F4:H4"/>
    <mergeCell ref="F44:H44"/>
    <mergeCell ref="I41:L41"/>
    <mergeCell ref="B42:E42"/>
    <mergeCell ref="I48:J48"/>
    <mergeCell ref="A34:L34"/>
    <mergeCell ref="K48:L48"/>
    <mergeCell ref="I37:L37"/>
    <mergeCell ref="J5:L5"/>
    <mergeCell ref="A4:E4"/>
    <mergeCell ref="A1:L1"/>
    <mergeCell ref="A6:C6"/>
    <mergeCell ref="D6:F6"/>
    <mergeCell ref="B38:E38"/>
    <mergeCell ref="I43:L43"/>
    <mergeCell ref="F40:H40"/>
    <mergeCell ref="B44:E44"/>
    <mergeCell ref="B37:E37"/>
    <mergeCell ref="A9:B9"/>
    <mergeCell ref="A7:C7"/>
    <mergeCell ref="G7:I7"/>
    <mergeCell ref="I42:L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261"/>
  <sheetViews>
    <sheetView workbookViewId="0">
      <selection activeCell="A1" sqref="A1"/>
    </sheetView>
  </sheetViews>
  <sheetFormatPr baseColWidth="8" defaultRowHeight="15"/>
  <sheetData>
    <row r="1">
      <c r="A1" t="inlineStr">
        <is>
          <t>Unemployment Rate — Date</t>
        </is>
      </c>
      <c r="B1" t="inlineStr">
        <is>
          <t>Unemployment Rate (Rate (%))</t>
        </is>
      </c>
      <c r="D1" t="inlineStr">
        <is>
          <t>Initial Jobless Claims — Date</t>
        </is>
      </c>
      <c r="E1" t="inlineStr">
        <is>
          <t>Initial Jobless Claims (Claims)</t>
        </is>
      </c>
      <c r="G1" t="inlineStr">
        <is>
          <t>Nonfarm Payrolls (MoM k) — Date</t>
        </is>
      </c>
      <c r="H1" t="inlineStr">
        <is>
          <t>Nonfarm Payrolls (MoM k) (Thousands)</t>
        </is>
      </c>
      <c r="J1" t="inlineStr">
        <is>
          <t>CPI  (YoY %) — Date</t>
        </is>
      </c>
      <c r="K1" t="inlineStr">
        <is>
          <t>CPI  (YoY %) (YoY (%))</t>
        </is>
      </c>
      <c r="M1" t="inlineStr">
        <is>
          <t>Core CPI  (YoY %) — Date</t>
        </is>
      </c>
      <c r="N1" t="inlineStr">
        <is>
          <t>Core CPI  (YoY %) (YoY (%))</t>
        </is>
      </c>
      <c r="P1" t="inlineStr">
        <is>
          <t>PPI — All Commodities  (MoM %) — Date</t>
        </is>
      </c>
      <c r="Q1" t="inlineStr">
        <is>
          <t>PPI — All Commodities  (MoM %) (MoM (%))</t>
        </is>
      </c>
      <c r="S1" t="inlineStr">
        <is>
          <t>CRB Commodity Index (YoY %) — Date</t>
        </is>
      </c>
      <c r="T1" t="inlineStr">
        <is>
          <t>CRB Commodity Index (YoY %) (YoY (%))</t>
        </is>
      </c>
      <c r="V1" t="inlineStr">
        <is>
          <t>ISM Manufacturing PMI — Date</t>
        </is>
      </c>
      <c r="W1" t="inlineStr">
        <is>
          <t>ISM Manufacturing PMI (Index)</t>
        </is>
      </c>
      <c r="Y1" t="inlineStr">
        <is>
          <t>ISM Non-Manufacturing PMI — Date</t>
        </is>
      </c>
      <c r="Z1" t="inlineStr">
        <is>
          <t>ISM Non-Manufacturing PMI (Index)</t>
        </is>
      </c>
      <c r="AB1" t="inlineStr">
        <is>
          <t>Chicago PMI  (Regional) — Date</t>
        </is>
      </c>
      <c r="AC1" t="inlineStr">
        <is>
          <t>Chicago PMI  (Regional) (Index)</t>
        </is>
      </c>
      <c r="AE1" t="inlineStr">
        <is>
          <t>Consumer Sentiment (UoM) — Date</t>
        </is>
      </c>
      <c r="AF1" t="inlineStr">
        <is>
          <t>Consumer Sentiment (UoM) (Index)</t>
        </is>
      </c>
      <c r="AH1" t="inlineStr">
        <is>
          <t>HY Credit Spread (OAS %) — Date</t>
        </is>
      </c>
      <c r="AI1" t="inlineStr">
        <is>
          <t>HY Credit Spread (OAS %) (OAS (%))</t>
        </is>
      </c>
      <c r="AK1" t="inlineStr">
        <is>
          <t>IG Credit Spread (OAS %) — Date</t>
        </is>
      </c>
      <c r="AL1" t="inlineStr">
        <is>
          <t>IG Credit Spread (OAS %) (OAS (%))</t>
        </is>
      </c>
      <c r="AN1" t="inlineStr">
        <is>
          <t>Yield Curve (10Y–3M) — Date</t>
        </is>
      </c>
      <c r="AO1" t="inlineStr">
        <is>
          <t>Yield Curve (10Y–3M) (% Spread)</t>
        </is>
      </c>
      <c r="AQ1" t="inlineStr">
        <is>
          <t>Building Permits (YoY %) — Date</t>
        </is>
      </c>
      <c r="AR1" t="inlineStr">
        <is>
          <t>Building Permits (YoY %) (YoY (%))</t>
        </is>
      </c>
      <c r="AT1" t="inlineStr">
        <is>
          <t>JOLTS Job Openings (YoY %) — Date</t>
        </is>
      </c>
      <c r="AU1" t="inlineStr">
        <is>
          <t>JOLTS Job Openings (YoY %) (YoY (%))</t>
        </is>
      </c>
      <c r="AW1" t="inlineStr">
        <is>
          <t>JOLTS Quits Rate (%) — Date</t>
        </is>
      </c>
      <c r="AX1" t="inlineStr">
        <is>
          <t>JOLTS Quits Rate (%) (Rate (%))</t>
        </is>
      </c>
      <c r="AZ1" t="inlineStr">
        <is>
          <t>10Y Breakeven Inflation — Date</t>
        </is>
      </c>
      <c r="BA1" t="inlineStr">
        <is>
          <t>10Y Breakeven Inflation (Rate (%))</t>
        </is>
      </c>
      <c r="BC1" t="inlineStr">
        <is>
          <t>Chicago Fed Natl Activity — Date</t>
        </is>
      </c>
      <c r="BD1" t="inlineStr">
        <is>
          <t>Chicago Fed Natl Activity (Index)</t>
        </is>
      </c>
      <c r="BF1" t="inlineStr">
        <is>
          <t>Policy Uncertainty (EPU) — Date</t>
        </is>
      </c>
      <c r="BG1" t="inlineStr">
        <is>
          <t>Policy Uncertainty (EPU) (Index)</t>
        </is>
      </c>
      <c r="BI1" t="inlineStr">
        <is>
          <t>Fed Funds Rate — Date</t>
        </is>
      </c>
      <c r="BJ1" t="inlineStr">
        <is>
          <t>Fed Funds Rate (%)</t>
        </is>
      </c>
      <c r="BL1" t="inlineStr">
        <is>
          <t>CBOE VIX  (Fear Index) — Date</t>
        </is>
      </c>
      <c r="BM1" t="inlineStr">
        <is>
          <t>CBOE VIX  (Fear Index)</t>
        </is>
      </c>
      <c r="BO1" t="inlineStr">
        <is>
          <t>Chicago Financial Conditions — Date</t>
        </is>
      </c>
      <c r="BP1" t="inlineStr">
        <is>
          <t>Chicago Financial Conditions</t>
        </is>
      </c>
      <c r="BR1" t="inlineStr">
        <is>
          <t>St. Louis Financial Stress Index — Date</t>
        </is>
      </c>
      <c r="BS1" t="inlineStr">
        <is>
          <t>St. Louis Financial Stress Index</t>
        </is>
      </c>
      <c r="BU1" t="inlineStr">
        <is>
          <t>Bank Lending Standards (C&amp;I %net) — Date</t>
        </is>
      </c>
      <c r="BV1" t="inlineStr">
        <is>
          <t>Bank Lending Standards (C&amp;I %net)</t>
        </is>
      </c>
      <c r="BX1" t="inlineStr">
        <is>
          <t>10Y–2Y Yield Curve Spread — Date</t>
        </is>
      </c>
      <c r="BY1" t="inlineStr">
        <is>
          <t>10Y–2Y Yield Curve Spread</t>
        </is>
      </c>
    </row>
    <row r="2">
      <c r="A2" t="inlineStr">
        <is>
          <t>2025-02</t>
        </is>
      </c>
      <c r="B2" t="n">
        <v>4.2</v>
      </c>
      <c r="D2" t="inlineStr">
        <is>
          <t>2026-01-03</t>
        </is>
      </c>
      <c r="E2" t="n">
        <v>212250</v>
      </c>
      <c r="G2" t="inlineStr">
        <is>
          <t>2025-03</t>
        </is>
      </c>
      <c r="H2" t="n">
        <v>67</v>
      </c>
      <c r="J2" t="inlineStr">
        <is>
          <t>2025-02</t>
        </is>
      </c>
      <c r="K2" t="n">
        <v>2.8</v>
      </c>
      <c r="M2" t="inlineStr">
        <is>
          <t>2025-02</t>
        </is>
      </c>
      <c r="N2" t="n">
        <v>3.14</v>
      </c>
      <c r="P2" t="inlineStr">
        <is>
          <t>2025-03</t>
        </is>
      </c>
      <c r="Q2" t="n">
        <v>-0.37</v>
      </c>
      <c r="S2" t="inlineStr">
        <is>
          <t>2025-03</t>
        </is>
      </c>
      <c r="T2" t="n">
        <v>2.81</v>
      </c>
      <c r="V2" t="inlineStr">
        <is>
          <t>2024-03</t>
        </is>
      </c>
      <c r="W2" t="n">
        <v>49.8</v>
      </c>
      <c r="Y2" t="inlineStr">
        <is>
          <t>2024-03</t>
        </is>
      </c>
      <c r="Z2" t="n">
        <v>51.3</v>
      </c>
      <c r="AB2" t="inlineStr">
        <is>
          <t>2024-03</t>
        </is>
      </c>
      <c r="AC2" t="n">
        <v>41.4</v>
      </c>
      <c r="AE2" t="inlineStr">
        <is>
          <t>2025-03</t>
        </is>
      </c>
      <c r="AF2" t="n">
        <v>57</v>
      </c>
      <c r="AH2" t="inlineStr">
        <is>
          <t>2025-04</t>
        </is>
      </c>
      <c r="AI2" t="n">
        <v>4.0348</v>
      </c>
      <c r="AK2" t="inlineStr">
        <is>
          <t>2025-04</t>
        </is>
      </c>
      <c r="AL2" t="n">
        <v>1.1057</v>
      </c>
      <c r="AN2" t="inlineStr">
        <is>
          <t>2025-04</t>
        </is>
      </c>
      <c r="AO2" t="n">
        <v>-0.0433</v>
      </c>
      <c r="AQ2" t="inlineStr">
        <is>
          <t>2025-02</t>
        </is>
      </c>
      <c r="AR2" t="n">
        <v>-7.8</v>
      </c>
      <c r="AT2" t="inlineStr">
        <is>
          <t>2025-03</t>
        </is>
      </c>
      <c r="AU2" t="n">
        <v>-15.28</v>
      </c>
      <c r="AW2" t="inlineStr">
        <is>
          <t>2025-03</t>
        </is>
      </c>
      <c r="AX2" t="n">
        <v>2.2</v>
      </c>
      <c r="AZ2" t="inlineStr">
        <is>
          <t>2025-04</t>
        </is>
      </c>
      <c r="BA2" t="n">
        <v>2.241</v>
      </c>
      <c r="BC2" t="inlineStr">
        <is>
          <t>2025-03</t>
        </is>
      </c>
      <c r="BD2" t="n">
        <v>0.15</v>
      </c>
      <c r="BF2" t="inlineStr">
        <is>
          <t>2025-04</t>
        </is>
      </c>
      <c r="BG2" t="n">
        <v>560.876</v>
      </c>
      <c r="BI2" t="inlineStr">
        <is>
          <t>2022-03</t>
        </is>
      </c>
      <c r="BJ2" t="n">
        <v>0.2</v>
      </c>
      <c r="BL2" t="inlineStr">
        <is>
          <t>2026-01-19</t>
        </is>
      </c>
      <c r="BM2" t="n">
        <v>18.84</v>
      </c>
      <c r="BO2" t="inlineStr">
        <is>
          <t>2025-04-04</t>
        </is>
      </c>
      <c r="BP2" t="n">
        <v>-0.39692</v>
      </c>
      <c r="BR2" t="inlineStr">
        <is>
          <t>2025-04-04</t>
        </is>
      </c>
      <c r="BS2" t="n">
        <v>0.0993</v>
      </c>
      <c r="BU2" t="inlineStr">
        <is>
          <t>2023-10-01</t>
        </is>
      </c>
      <c r="BV2" t="n">
        <v>33.9</v>
      </c>
      <c r="BX2" t="inlineStr">
        <is>
          <t>2025-03-17</t>
        </is>
      </c>
      <c r="BY2" t="n">
        <v>0.25</v>
      </c>
    </row>
    <row r="3">
      <c r="A3" t="inlineStr">
        <is>
          <t>2025-03</t>
        </is>
      </c>
      <c r="B3" t="n">
        <v>4.2</v>
      </c>
      <c r="D3" t="inlineStr">
        <is>
          <t>2026-01-10</t>
        </is>
      </c>
      <c r="E3" t="n">
        <v>206500</v>
      </c>
      <c r="G3" t="inlineStr">
        <is>
          <t>2025-04</t>
        </is>
      </c>
      <c r="H3" t="n">
        <v>108</v>
      </c>
      <c r="J3" t="inlineStr">
        <is>
          <t>2025-03</t>
        </is>
      </c>
      <c r="K3" t="n">
        <v>2.38</v>
      </c>
      <c r="M3" t="inlineStr">
        <is>
          <t>2025-03</t>
        </is>
      </c>
      <c r="N3" t="n">
        <v>2.81</v>
      </c>
      <c r="P3" t="inlineStr">
        <is>
          <t>2025-04</t>
        </is>
      </c>
      <c r="Q3" t="n">
        <v>-0.05</v>
      </c>
      <c r="S3" t="inlineStr">
        <is>
          <t>2025-04</t>
        </is>
      </c>
      <c r="T3" t="n">
        <v>-4.49</v>
      </c>
      <c r="V3" t="inlineStr">
        <is>
          <t>2024-04</t>
        </is>
      </c>
      <c r="W3" t="n">
        <v>48.8</v>
      </c>
      <c r="Y3" t="inlineStr">
        <is>
          <t>2024-04</t>
        </is>
      </c>
      <c r="Z3" t="n">
        <v>49.6</v>
      </c>
      <c r="AB3" t="inlineStr">
        <is>
          <t>2024-04</t>
        </is>
      </c>
      <c r="AC3" t="n">
        <v>37.9</v>
      </c>
      <c r="AE3" t="inlineStr">
        <is>
          <t>2025-04</t>
        </is>
      </c>
      <c r="AF3" t="n">
        <v>52.2</v>
      </c>
      <c r="AH3" t="inlineStr">
        <is>
          <t>2025-05</t>
        </is>
      </c>
      <c r="AI3" t="n">
        <v>3.3543</v>
      </c>
      <c r="AK3" t="inlineStr">
        <is>
          <t>2025-05</t>
        </is>
      </c>
      <c r="AL3" t="n">
        <v>0.9609</v>
      </c>
      <c r="AN3" t="inlineStr">
        <is>
          <t>2025-05</t>
        </is>
      </c>
      <c r="AO3" t="n">
        <v>0.0624</v>
      </c>
      <c r="AQ3" t="inlineStr">
        <is>
          <t>2025-03</t>
        </is>
      </c>
      <c r="AR3" t="n">
        <v>0.34</v>
      </c>
      <c r="AT3" t="inlineStr">
        <is>
          <t>2025-04</t>
        </is>
      </c>
      <c r="AU3" t="n">
        <v>-5.72</v>
      </c>
      <c r="AW3" t="inlineStr">
        <is>
          <t>2025-04</t>
        </is>
      </c>
      <c r="AX3" t="n">
        <v>2</v>
      </c>
      <c r="AZ3" t="inlineStr">
        <is>
          <t>2025-05</t>
        </is>
      </c>
      <c r="BA3" t="n">
        <v>2.3133</v>
      </c>
      <c r="BC3" t="inlineStr">
        <is>
          <t>2025-04</t>
        </is>
      </c>
      <c r="BD3" t="n">
        <v>-0.36</v>
      </c>
      <c r="BF3" t="inlineStr">
        <is>
          <t>2025-05</t>
        </is>
      </c>
      <c r="BG3" t="n">
        <v>499.309</v>
      </c>
      <c r="BI3" t="inlineStr">
        <is>
          <t>2022-04</t>
        </is>
      </c>
      <c r="BJ3" t="n">
        <v>0.33</v>
      </c>
      <c r="BL3" t="inlineStr">
        <is>
          <t>2026-01-20</t>
        </is>
      </c>
      <c r="BM3" t="n">
        <v>20.09</v>
      </c>
      <c r="BO3" t="inlineStr">
        <is>
          <t>2025-04-11</t>
        </is>
      </c>
      <c r="BP3" t="n">
        <v>-0.38618</v>
      </c>
      <c r="BR3" t="inlineStr">
        <is>
          <t>2025-04-11</t>
        </is>
      </c>
      <c r="BS3" t="n">
        <v>0.5846</v>
      </c>
      <c r="BU3" t="inlineStr">
        <is>
          <t>2024-01-01</t>
        </is>
      </c>
      <c r="BV3" t="n">
        <v>14.5</v>
      </c>
      <c r="BX3" t="inlineStr">
        <is>
          <t>2025-03-18</t>
        </is>
      </c>
      <c r="BY3" t="n">
        <v>0.25</v>
      </c>
    </row>
    <row r="4">
      <c r="A4" t="inlineStr">
        <is>
          <t>2025-04</t>
        </is>
      </c>
      <c r="B4" t="n">
        <v>4.2</v>
      </c>
      <c r="D4" t="inlineStr">
        <is>
          <t>2026-01-17</t>
        </is>
      </c>
      <c r="E4" t="n">
        <v>205250</v>
      </c>
      <c r="G4" t="inlineStr">
        <is>
          <t>2025-05</t>
        </is>
      </c>
      <c r="H4" t="n">
        <v>13</v>
      </c>
      <c r="J4" t="inlineStr">
        <is>
          <t>2025-04</t>
        </is>
      </c>
      <c r="K4" t="n">
        <v>2.33</v>
      </c>
      <c r="M4" t="inlineStr">
        <is>
          <t>2025-04</t>
        </is>
      </c>
      <c r="N4" t="n">
        <v>2.78</v>
      </c>
      <c r="P4" t="inlineStr">
        <is>
          <t>2025-05</t>
        </is>
      </c>
      <c r="Q4" t="n">
        <v>0.11</v>
      </c>
      <c r="S4" t="inlineStr">
        <is>
          <t>2025-05</t>
        </is>
      </c>
      <c r="T4" t="n">
        <v>-4.44</v>
      </c>
      <c r="V4" t="inlineStr">
        <is>
          <t>2024-05</t>
        </is>
      </c>
      <c r="W4" t="n">
        <v>48.5</v>
      </c>
      <c r="Y4" t="inlineStr">
        <is>
          <t>2024-05</t>
        </is>
      </c>
      <c r="Z4" t="n">
        <v>53.5</v>
      </c>
      <c r="AB4" t="inlineStr">
        <is>
          <t>2024-05</t>
        </is>
      </c>
      <c r="AC4" t="n">
        <v>35.4</v>
      </c>
      <c r="AE4" t="inlineStr">
        <is>
          <t>2025-05</t>
        </is>
      </c>
      <c r="AF4" t="n">
        <v>52.2</v>
      </c>
      <c r="AH4" t="inlineStr">
        <is>
          <t>2025-06</t>
        </is>
      </c>
      <c r="AI4" t="n">
        <v>3.1252</v>
      </c>
      <c r="AK4" t="inlineStr">
        <is>
          <t>2025-06</t>
        </is>
      </c>
      <c r="AL4" t="n">
        <v>0.8804999999999999</v>
      </c>
      <c r="AN4" t="inlineStr">
        <is>
          <t>2025-06</t>
        </is>
      </c>
      <c r="AO4" t="n">
        <v>-0.0375</v>
      </c>
      <c r="AQ4" t="inlineStr">
        <is>
          <t>2025-04</t>
        </is>
      </c>
      <c r="AR4" t="n">
        <v>-2.54</v>
      </c>
      <c r="AT4" t="inlineStr">
        <is>
          <t>2025-05</t>
        </is>
      </c>
      <c r="AU4" t="n">
        <v>-6.07</v>
      </c>
      <c r="AW4" t="inlineStr">
        <is>
          <t>2025-05</t>
        </is>
      </c>
      <c r="AX4" t="n">
        <v>2.1</v>
      </c>
      <c r="AZ4" t="inlineStr">
        <is>
          <t>2025-06</t>
        </is>
      </c>
      <c r="BA4" t="n">
        <v>2.297</v>
      </c>
      <c r="BC4" t="inlineStr">
        <is>
          <t>2025-05</t>
        </is>
      </c>
      <c r="BD4" t="n">
        <v>-0.29</v>
      </c>
      <c r="BF4" t="inlineStr">
        <is>
          <t>2025-06</t>
        </is>
      </c>
      <c r="BG4" t="n">
        <v>399.6627</v>
      </c>
      <c r="BI4" t="inlineStr">
        <is>
          <t>2022-05</t>
        </is>
      </c>
      <c r="BJ4" t="n">
        <v>0.77</v>
      </c>
      <c r="BL4" t="inlineStr">
        <is>
          <t>2026-01-21</t>
        </is>
      </c>
      <c r="BM4" t="n">
        <v>16.9</v>
      </c>
      <c r="BO4" t="inlineStr">
        <is>
          <t>2025-04-18</t>
        </is>
      </c>
      <c r="BP4" t="n">
        <v>-0.38659</v>
      </c>
      <c r="BR4" t="inlineStr">
        <is>
          <t>2025-04-18</t>
        </is>
      </c>
      <c r="BS4" t="n">
        <v>-0.2005</v>
      </c>
      <c r="BU4" t="inlineStr">
        <is>
          <t>2024-04-01</t>
        </is>
      </c>
      <c r="BV4" t="n">
        <v>15.6</v>
      </c>
      <c r="BX4" t="inlineStr">
        <is>
          <t>2025-03-19</t>
        </is>
      </c>
      <c r="BY4" t="n">
        <v>0.26</v>
      </c>
    </row>
    <row r="5">
      <c r="A5" t="inlineStr">
        <is>
          <t>2025-05</t>
        </is>
      </c>
      <c r="B5" t="n">
        <v>4.3</v>
      </c>
      <c r="D5" t="inlineStr">
        <is>
          <t>2026-01-24</t>
        </is>
      </c>
      <c r="E5" t="n">
        <v>207250</v>
      </c>
      <c r="G5" t="inlineStr">
        <is>
          <t>2025-06</t>
        </is>
      </c>
      <c r="H5" t="n">
        <v>-20</v>
      </c>
      <c r="J5" t="inlineStr">
        <is>
          <t>2025-05</t>
        </is>
      </c>
      <c r="K5" t="n">
        <v>2.38</v>
      </c>
      <c r="M5" t="inlineStr">
        <is>
          <t>2025-05</t>
        </is>
      </c>
      <c r="N5" t="n">
        <v>2.77</v>
      </c>
      <c r="P5" t="inlineStr">
        <is>
          <t>2025-06</t>
        </is>
      </c>
      <c r="Q5" t="n">
        <v>0.7</v>
      </c>
      <c r="S5" t="inlineStr">
        <is>
          <t>2025-06</t>
        </is>
      </c>
      <c r="T5" t="n">
        <v>-0.33</v>
      </c>
      <c r="V5" t="inlineStr">
        <is>
          <t>2024-06</t>
        </is>
      </c>
      <c r="W5" t="n">
        <v>48.3</v>
      </c>
      <c r="Y5" t="inlineStr">
        <is>
          <t>2024-06</t>
        </is>
      </c>
      <c r="Z5" t="n">
        <v>49.2</v>
      </c>
      <c r="AB5" t="inlineStr">
        <is>
          <t>2024-06</t>
        </is>
      </c>
      <c r="AC5" t="n">
        <v>47.4</v>
      </c>
      <c r="AE5" t="inlineStr">
        <is>
          <t>2025-06</t>
        </is>
      </c>
      <c r="AF5" t="n">
        <v>60.7</v>
      </c>
      <c r="AH5" t="inlineStr">
        <is>
          <t>2025-07</t>
        </is>
      </c>
      <c r="AI5" t="n">
        <v>2.8891</v>
      </c>
      <c r="AK5" t="inlineStr">
        <is>
          <t>2025-07</t>
        </is>
      </c>
      <c r="AL5" t="n">
        <v>0.8061</v>
      </c>
      <c r="AN5" t="inlineStr">
        <is>
          <t>2025-07</t>
        </is>
      </c>
      <c r="AO5" t="n">
        <v>-0.0205</v>
      </c>
      <c r="AQ5" t="inlineStr">
        <is>
          <t>2025-05</t>
        </is>
      </c>
      <c r="AR5" t="n">
        <v>-0.92</v>
      </c>
      <c r="AT5" t="inlineStr">
        <is>
          <t>2025-06</t>
        </is>
      </c>
      <c r="AU5" t="n">
        <v>-2.86</v>
      </c>
      <c r="AW5" t="inlineStr">
        <is>
          <t>2025-06</t>
        </is>
      </c>
      <c r="AX5" t="n">
        <v>2.1</v>
      </c>
      <c r="AZ5" t="inlineStr">
        <is>
          <t>2025-07</t>
        </is>
      </c>
      <c r="BA5" t="n">
        <v>2.3836</v>
      </c>
      <c r="BC5" t="inlineStr">
        <is>
          <t>2025-06</t>
        </is>
      </c>
      <c r="BD5" t="n">
        <v>-0.07000000000000001</v>
      </c>
      <c r="BF5" t="inlineStr">
        <is>
          <t>2025-07</t>
        </is>
      </c>
      <c r="BG5" t="n">
        <v>371.9852</v>
      </c>
      <c r="BI5" t="inlineStr">
        <is>
          <t>2022-06</t>
        </is>
      </c>
      <c r="BJ5" t="n">
        <v>1.21</v>
      </c>
      <c r="BL5" t="inlineStr">
        <is>
          <t>2026-01-22</t>
        </is>
      </c>
      <c r="BM5" t="n">
        <v>15.64</v>
      </c>
      <c r="BO5" t="inlineStr">
        <is>
          <t>2025-04-25</t>
        </is>
      </c>
      <c r="BP5" t="n">
        <v>-0.39309</v>
      </c>
      <c r="BR5" t="inlineStr">
        <is>
          <t>2025-04-25</t>
        </is>
      </c>
      <c r="BS5" t="n">
        <v>-0.2668</v>
      </c>
      <c r="BU5" t="inlineStr">
        <is>
          <t>2024-07-01</t>
        </is>
      </c>
      <c r="BV5" t="n">
        <v>7.9</v>
      </c>
      <c r="BX5" t="inlineStr">
        <is>
          <t>2025-03-20</t>
        </is>
      </c>
      <c r="BY5" t="n">
        <v>0.29</v>
      </c>
    </row>
    <row r="6">
      <c r="A6" t="inlineStr">
        <is>
          <t>2025-06</t>
        </is>
      </c>
      <c r="B6" t="n">
        <v>4.1</v>
      </c>
      <c r="D6" t="inlineStr">
        <is>
          <t>2026-01-31</t>
        </is>
      </c>
      <c r="E6" t="n">
        <v>213000</v>
      </c>
      <c r="G6" t="inlineStr">
        <is>
          <t>2025-07</t>
        </is>
      </c>
      <c r="H6" t="n">
        <v>64</v>
      </c>
      <c r="J6" t="inlineStr">
        <is>
          <t>2025-06</t>
        </is>
      </c>
      <c r="K6" t="n">
        <v>2.68</v>
      </c>
      <c r="M6" t="inlineStr">
        <is>
          <t>2025-06</t>
        </is>
      </c>
      <c r="N6" t="n">
        <v>2.91</v>
      </c>
      <c r="P6" t="inlineStr">
        <is>
          <t>2025-07</t>
        </is>
      </c>
      <c r="Q6" t="n">
        <v>0.72</v>
      </c>
      <c r="S6" t="inlineStr">
        <is>
          <t>2025-07</t>
        </is>
      </c>
      <c r="T6" t="n">
        <v>-0.25</v>
      </c>
      <c r="V6" t="inlineStr">
        <is>
          <t>2024-07</t>
        </is>
      </c>
      <c r="W6" t="n">
        <v>47</v>
      </c>
      <c r="Y6" t="inlineStr">
        <is>
          <t>2024-07</t>
        </is>
      </c>
      <c r="Z6" t="n">
        <v>51.4</v>
      </c>
      <c r="AB6" t="inlineStr">
        <is>
          <t>2024-07</t>
        </is>
      </c>
      <c r="AC6" t="n">
        <v>45.3</v>
      </c>
      <c r="AE6" t="inlineStr">
        <is>
          <t>2025-07</t>
        </is>
      </c>
      <c r="AF6" t="n">
        <v>61.7</v>
      </c>
      <c r="AH6" t="inlineStr">
        <is>
          <t>2025-08</t>
        </is>
      </c>
      <c r="AI6" t="n">
        <v>2.9027</v>
      </c>
      <c r="AK6" t="inlineStr">
        <is>
          <t>2025-08</t>
        </is>
      </c>
      <c r="AL6" t="n">
        <v>0.7864</v>
      </c>
      <c r="AN6" t="inlineStr">
        <is>
          <t>2025-08</t>
        </is>
      </c>
      <c r="AO6" t="n">
        <v>-0.04</v>
      </c>
      <c r="AQ6" t="inlineStr">
        <is>
          <t>2025-06</t>
        </is>
      </c>
      <c r="AR6" t="n">
        <v>-4.65</v>
      </c>
      <c r="AT6" t="inlineStr">
        <is>
          <t>2025-07</t>
        </is>
      </c>
      <c r="AU6" t="n">
        <v>-4.54</v>
      </c>
      <c r="AW6" t="inlineStr">
        <is>
          <t>2025-07</t>
        </is>
      </c>
      <c r="AX6" t="n">
        <v>2</v>
      </c>
      <c r="AZ6" t="inlineStr">
        <is>
          <t>2025-08</t>
        </is>
      </c>
      <c r="BA6" t="n">
        <v>2.3819</v>
      </c>
      <c r="BC6" t="inlineStr">
        <is>
          <t>2025-07</t>
        </is>
      </c>
      <c r="BD6" t="n">
        <v>0.01</v>
      </c>
      <c r="BF6" t="inlineStr">
        <is>
          <t>2025-08</t>
        </is>
      </c>
      <c r="BG6" t="n">
        <v>306.9448</v>
      </c>
      <c r="BI6" t="inlineStr">
        <is>
          <t>2022-07</t>
        </is>
      </c>
      <c r="BJ6" t="n">
        <v>1.68</v>
      </c>
      <c r="BL6" t="inlineStr">
        <is>
          <t>2026-01-23</t>
        </is>
      </c>
      <c r="BM6" t="n">
        <v>16.09</v>
      </c>
      <c r="BO6" t="inlineStr">
        <is>
          <t>2025-05-02</t>
        </is>
      </c>
      <c r="BP6" t="n">
        <v>-0.40638</v>
      </c>
      <c r="BR6" t="inlineStr">
        <is>
          <t>2025-05-02</t>
        </is>
      </c>
      <c r="BS6" t="n">
        <v>-0.3427</v>
      </c>
      <c r="BU6" t="inlineStr">
        <is>
          <t>2024-10-01</t>
        </is>
      </c>
      <c r="BV6" t="n">
        <v>0</v>
      </c>
      <c r="BX6" t="inlineStr">
        <is>
          <t>2025-03-21</t>
        </is>
      </c>
      <c r="BY6" t="n">
        <v>0.31</v>
      </c>
    </row>
    <row r="7">
      <c r="A7" t="inlineStr">
        <is>
          <t>2025-07</t>
        </is>
      </c>
      <c r="B7" t="n">
        <v>4.3</v>
      </c>
      <c r="D7" t="inlineStr">
        <is>
          <t>2026-02-07</t>
        </is>
      </c>
      <c r="E7" t="n">
        <v>220250</v>
      </c>
      <c r="G7" t="inlineStr">
        <is>
          <t>2025-08</t>
        </is>
      </c>
      <c r="H7" t="n">
        <v>-70</v>
      </c>
      <c r="J7" t="inlineStr">
        <is>
          <t>2025-07</t>
        </is>
      </c>
      <c r="K7" t="n">
        <v>2.74</v>
      </c>
      <c r="M7" t="inlineStr">
        <is>
          <t>2025-07</t>
        </is>
      </c>
      <c r="N7" t="n">
        <v>3.05</v>
      </c>
      <c r="P7" t="inlineStr">
        <is>
          <t>2025-08</t>
        </is>
      </c>
      <c r="Q7" t="n">
        <v>-0.09</v>
      </c>
      <c r="S7" t="inlineStr">
        <is>
          <t>2025-08</t>
        </is>
      </c>
      <c r="T7" t="n">
        <v>-0.49</v>
      </c>
      <c r="V7" t="inlineStr">
        <is>
          <t>2024-08</t>
        </is>
      </c>
      <c r="W7" t="n">
        <v>47.5</v>
      </c>
      <c r="Y7" t="inlineStr">
        <is>
          <t>2024-08</t>
        </is>
      </c>
      <c r="Z7" t="n">
        <v>51.6</v>
      </c>
      <c r="AB7" t="inlineStr">
        <is>
          <t>2024-08</t>
        </is>
      </c>
      <c r="AC7" t="n">
        <v>46.1</v>
      </c>
      <c r="AE7" t="inlineStr">
        <is>
          <t>2025-08</t>
        </is>
      </c>
      <c r="AF7" t="n">
        <v>58.2</v>
      </c>
      <c r="AH7" t="inlineStr">
        <is>
          <t>2025-09</t>
        </is>
      </c>
      <c r="AI7" t="n">
        <v>2.7882</v>
      </c>
      <c r="AK7" t="inlineStr">
        <is>
          <t>2025-09</t>
        </is>
      </c>
      <c r="AL7" t="n">
        <v>0.7718</v>
      </c>
      <c r="AN7" t="inlineStr">
        <is>
          <t>2025-09</t>
        </is>
      </c>
      <c r="AO7" t="n">
        <v>0.0548</v>
      </c>
      <c r="AQ7" t="inlineStr">
        <is>
          <t>2025-07</t>
        </is>
      </c>
      <c r="AR7" t="n">
        <v>-5.15</v>
      </c>
      <c r="AT7" t="inlineStr">
        <is>
          <t>2025-08</t>
        </is>
      </c>
      <c r="AU7" t="n">
        <v>-7.99</v>
      </c>
      <c r="AW7" t="inlineStr">
        <is>
          <t>2025-08</t>
        </is>
      </c>
      <c r="AX7" t="n">
        <v>2</v>
      </c>
      <c r="AZ7" t="inlineStr">
        <is>
          <t>2025-09</t>
        </is>
      </c>
      <c r="BA7" t="n">
        <v>2.3714</v>
      </c>
      <c r="BC7" t="inlineStr">
        <is>
          <t>2025-08</t>
        </is>
      </c>
      <c r="BD7" t="n">
        <v>-0.36</v>
      </c>
      <c r="BF7" t="inlineStr">
        <is>
          <t>2025-09</t>
        </is>
      </c>
      <c r="BG7" t="n">
        <v>341.923</v>
      </c>
      <c r="BI7" t="inlineStr">
        <is>
          <t>2022-08</t>
        </is>
      </c>
      <c r="BJ7" t="n">
        <v>2.33</v>
      </c>
      <c r="BL7" t="inlineStr">
        <is>
          <t>2026-01-26</t>
        </is>
      </c>
      <c r="BM7" t="n">
        <v>16.15</v>
      </c>
      <c r="BO7" t="inlineStr">
        <is>
          <t>2025-05-09</t>
        </is>
      </c>
      <c r="BP7" t="n">
        <v>-0.42359</v>
      </c>
      <c r="BR7" t="inlineStr">
        <is>
          <t>2025-05-09</t>
        </is>
      </c>
      <c r="BS7" t="n">
        <v>-0.4677</v>
      </c>
      <c r="BU7" t="inlineStr">
        <is>
          <t>2025-01-01</t>
        </is>
      </c>
      <c r="BV7" t="n">
        <v>6.2</v>
      </c>
      <c r="BX7" t="inlineStr">
        <is>
          <t>2025-03-24</t>
        </is>
      </c>
      <c r="BY7" t="n">
        <v>0.3</v>
      </c>
    </row>
    <row r="8">
      <c r="A8" t="inlineStr">
        <is>
          <t>2025-08</t>
        </is>
      </c>
      <c r="B8" t="n">
        <v>4.3</v>
      </c>
      <c r="D8" t="inlineStr">
        <is>
          <t>2026-02-14</t>
        </is>
      </c>
      <c r="E8" t="n">
        <v>219750</v>
      </c>
      <c r="G8" t="inlineStr">
        <is>
          <t>2025-09</t>
        </is>
      </c>
      <c r="H8" t="n">
        <v>76</v>
      </c>
      <c r="J8" t="inlineStr">
        <is>
          <t>2025-08</t>
        </is>
      </c>
      <c r="K8" t="n">
        <v>2.94</v>
      </c>
      <c r="M8" t="inlineStr">
        <is>
          <t>2025-08</t>
        </is>
      </c>
      <c r="N8" t="n">
        <v>3.11</v>
      </c>
      <c r="P8" t="inlineStr">
        <is>
          <t>2025-09</t>
        </is>
      </c>
      <c r="Q8" t="n">
        <v>-0.02</v>
      </c>
      <c r="S8" t="inlineStr">
        <is>
          <t>2025-09</t>
        </is>
      </c>
      <c r="T8" t="n">
        <v>3.82</v>
      </c>
      <c r="V8" t="inlineStr">
        <is>
          <t>2024-09</t>
        </is>
      </c>
      <c r="W8" t="n">
        <v>47.5</v>
      </c>
      <c r="Y8" t="inlineStr">
        <is>
          <t>2024-09</t>
        </is>
      </c>
      <c r="Z8" t="n">
        <v>54.5</v>
      </c>
      <c r="AB8" t="inlineStr">
        <is>
          <t>2024-09</t>
        </is>
      </c>
      <c r="AC8" t="n">
        <v>46.6</v>
      </c>
      <c r="AE8" t="inlineStr">
        <is>
          <t>2025-09</t>
        </is>
      </c>
      <c r="AF8" t="n">
        <v>55.1</v>
      </c>
      <c r="AH8" t="inlineStr">
        <is>
          <t>2025-10</t>
        </is>
      </c>
      <c r="AI8" t="n">
        <v>2.9248</v>
      </c>
      <c r="AK8" t="inlineStr">
        <is>
          <t>2025-10</t>
        </is>
      </c>
      <c r="AL8" t="n">
        <v>0.7761</v>
      </c>
      <c r="AN8" t="inlineStr">
        <is>
          <t>2025-10</t>
        </is>
      </c>
      <c r="AO8" t="n">
        <v>0.08409999999999999</v>
      </c>
      <c r="AQ8" t="inlineStr">
        <is>
          <t>2025-08</t>
        </is>
      </c>
      <c r="AR8" t="n">
        <v>-9.890000000000001</v>
      </c>
      <c r="AT8" t="inlineStr">
        <is>
          <t>2025-09</t>
        </is>
      </c>
      <c r="AU8" t="n">
        <v>3.26</v>
      </c>
      <c r="AW8" t="inlineStr">
        <is>
          <t>2025-09</t>
        </is>
      </c>
      <c r="AX8" t="n">
        <v>1.9</v>
      </c>
      <c r="AZ8" t="inlineStr">
        <is>
          <t>2025-10</t>
        </is>
      </c>
      <c r="BA8" t="n">
        <v>2.305</v>
      </c>
      <c r="BC8" t="inlineStr">
        <is>
          <t>2025-09</t>
        </is>
      </c>
      <c r="BD8" t="n">
        <v>-0.31</v>
      </c>
      <c r="BF8" t="inlineStr">
        <is>
          <t>2025-10</t>
        </is>
      </c>
      <c r="BG8" t="n">
        <v>354.1868</v>
      </c>
      <c r="BI8" t="inlineStr">
        <is>
          <t>2022-09</t>
        </is>
      </c>
      <c r="BJ8" t="n">
        <v>2.56</v>
      </c>
      <c r="BL8" t="inlineStr">
        <is>
          <t>2026-01-27</t>
        </is>
      </c>
      <c r="BM8" t="n">
        <v>16.35</v>
      </c>
      <c r="BO8" t="inlineStr">
        <is>
          <t>2025-05-16</t>
        </is>
      </c>
      <c r="BP8" t="n">
        <v>-0.44104</v>
      </c>
      <c r="BR8" t="inlineStr">
        <is>
          <t>2025-05-16</t>
        </is>
      </c>
      <c r="BS8" t="n">
        <v>-0.8968</v>
      </c>
      <c r="BU8" t="inlineStr">
        <is>
          <t>2025-04-01</t>
        </is>
      </c>
      <c r="BV8" t="n">
        <v>18.5</v>
      </c>
      <c r="BX8" t="inlineStr">
        <is>
          <t>2025-03-25</t>
        </is>
      </c>
      <c r="BY8" t="n">
        <v>0.35</v>
      </c>
    </row>
    <row r="9">
      <c r="A9" t="inlineStr">
        <is>
          <t>2025-09</t>
        </is>
      </c>
      <c r="B9" t="n">
        <v>4.4</v>
      </c>
      <c r="D9" t="inlineStr">
        <is>
          <t>2026-02-21</t>
        </is>
      </c>
      <c r="E9" t="n">
        <v>219750</v>
      </c>
      <c r="G9" t="inlineStr">
        <is>
          <t>2025-10</t>
        </is>
      </c>
      <c r="H9" t="n">
        <v>-140</v>
      </c>
      <c r="J9" t="inlineStr">
        <is>
          <t>2025-09</t>
        </is>
      </c>
      <c r="K9" t="n">
        <v>3.02</v>
      </c>
      <c r="M9" t="inlineStr">
        <is>
          <t>2025-09</t>
        </is>
      </c>
      <c r="N9" t="n">
        <v>3.02</v>
      </c>
      <c r="P9" t="inlineStr">
        <is>
          <t>2025-10</t>
        </is>
      </c>
      <c r="Q9" t="n">
        <v>-0.5600000000000001</v>
      </c>
      <c r="S9" t="inlineStr">
        <is>
          <t>2025-10</t>
        </is>
      </c>
      <c r="T9" t="n">
        <v>0.77</v>
      </c>
      <c r="V9" t="inlineStr">
        <is>
          <t>2024-10</t>
        </is>
      </c>
      <c r="W9" t="n">
        <v>46.9</v>
      </c>
      <c r="Y9" t="inlineStr">
        <is>
          <t>2024-10</t>
        </is>
      </c>
      <c r="Z9" t="n">
        <v>55.8</v>
      </c>
      <c r="AB9" t="inlineStr">
        <is>
          <t>2024-10</t>
        </is>
      </c>
      <c r="AC9" t="n">
        <v>41.6</v>
      </c>
      <c r="AE9" t="inlineStr">
        <is>
          <t>2025-10</t>
        </is>
      </c>
      <c r="AF9" t="n">
        <v>53.6</v>
      </c>
      <c r="AH9" t="inlineStr">
        <is>
          <t>2025-11</t>
        </is>
      </c>
      <c r="AI9" t="n">
        <v>3.081</v>
      </c>
      <c r="AK9" t="inlineStr">
        <is>
          <t>2025-11</t>
        </is>
      </c>
      <c r="AL9" t="n">
        <v>0.8324</v>
      </c>
      <c r="AN9" t="inlineStr">
        <is>
          <t>2025-11</t>
        </is>
      </c>
      <c r="AO9" t="n">
        <v>0.1567</v>
      </c>
      <c r="AQ9" t="inlineStr">
        <is>
          <t>2025-09</t>
        </is>
      </c>
      <c r="AR9" t="n">
        <v>-1.32</v>
      </c>
      <c r="AT9" t="inlineStr">
        <is>
          <t>2025-10</t>
        </is>
      </c>
      <c r="AU9" t="n">
        <v>-2.83</v>
      </c>
      <c r="AW9" t="inlineStr">
        <is>
          <t>2025-10</t>
        </is>
      </c>
      <c r="AX9" t="n">
        <v>1.9</v>
      </c>
      <c r="AZ9" t="inlineStr">
        <is>
          <t>2025-11</t>
        </is>
      </c>
      <c r="BA9" t="n">
        <v>2.2661</v>
      </c>
      <c r="BC9" t="inlineStr">
        <is>
          <t>2025-10</t>
        </is>
      </c>
      <c r="BD9" t="n">
        <v>-0.51</v>
      </c>
      <c r="BF9" t="inlineStr">
        <is>
          <t>2025-11</t>
        </is>
      </c>
      <c r="BG9" t="n">
        <v>335.877</v>
      </c>
      <c r="BI9" t="inlineStr">
        <is>
          <t>2022-10</t>
        </is>
      </c>
      <c r="BJ9" t="n">
        <v>3.08</v>
      </c>
      <c r="BL9" t="inlineStr">
        <is>
          <t>2026-01-28</t>
        </is>
      </c>
      <c r="BM9" t="n">
        <v>16.35</v>
      </c>
      <c r="BO9" t="inlineStr">
        <is>
          <t>2025-05-23</t>
        </is>
      </c>
      <c r="BP9" t="n">
        <v>-0.4557</v>
      </c>
      <c r="BR9" t="inlineStr">
        <is>
          <t>2025-05-23</t>
        </is>
      </c>
      <c r="BS9" t="n">
        <v>-0.5006</v>
      </c>
      <c r="BU9" t="inlineStr">
        <is>
          <t>2025-07-01</t>
        </is>
      </c>
      <c r="BV9" t="n">
        <v>9.5</v>
      </c>
      <c r="BX9" t="inlineStr">
        <is>
          <t>2025-03-26</t>
        </is>
      </c>
      <c r="BY9" t="n">
        <v>0.37</v>
      </c>
    </row>
    <row r="10">
      <c r="A10" t="inlineStr">
        <is>
          <t>2025-11</t>
        </is>
      </c>
      <c r="B10" t="n">
        <v>4.5</v>
      </c>
      <c r="D10" t="inlineStr">
        <is>
          <t>2026-02-28</t>
        </is>
      </c>
      <c r="E10" t="n">
        <v>215750</v>
      </c>
      <c r="G10" t="inlineStr">
        <is>
          <t>2025-11</t>
        </is>
      </c>
      <c r="H10" t="n">
        <v>41</v>
      </c>
      <c r="J10" t="inlineStr">
        <is>
          <t>2025-11</t>
        </is>
      </c>
      <c r="K10" t="n">
        <v>2.7</v>
      </c>
      <c r="M10" t="inlineStr">
        <is>
          <t>2025-11</t>
        </is>
      </c>
      <c r="N10" t="n">
        <v>2.6</v>
      </c>
      <c r="P10" t="inlineStr">
        <is>
          <t>2025-11</t>
        </is>
      </c>
      <c r="Q10" t="n">
        <v>0.38</v>
      </c>
      <c r="S10" t="inlineStr">
        <is>
          <t>2025-11</t>
        </is>
      </c>
      <c r="T10" t="n">
        <v>1.46</v>
      </c>
      <c r="V10" t="inlineStr">
        <is>
          <t>2024-11</t>
        </is>
      </c>
      <c r="W10" t="n">
        <v>48.4</v>
      </c>
      <c r="Y10" t="inlineStr">
        <is>
          <t>2024-11</t>
        </is>
      </c>
      <c r="Z10" t="n">
        <v>52.5</v>
      </c>
      <c r="AB10" t="inlineStr">
        <is>
          <t>2024-11</t>
        </is>
      </c>
      <c r="AC10" t="n">
        <v>40.2</v>
      </c>
      <c r="AE10" t="inlineStr">
        <is>
          <t>2025-11</t>
        </is>
      </c>
      <c r="AF10" t="n">
        <v>51</v>
      </c>
      <c r="AH10" t="inlineStr">
        <is>
          <t>2025-12</t>
        </is>
      </c>
      <c r="AI10" t="n">
        <v>2.8918</v>
      </c>
      <c r="AK10" t="inlineStr">
        <is>
          <t>2025-12</t>
        </is>
      </c>
      <c r="AL10" t="n">
        <v>0.7968</v>
      </c>
      <c r="AN10" t="inlineStr">
        <is>
          <t>2025-12</t>
        </is>
      </c>
      <c r="AO10" t="n">
        <v>0.4636</v>
      </c>
      <c r="AQ10" t="inlineStr">
        <is>
          <t>2025-10</t>
        </is>
      </c>
      <c r="AR10" t="n">
        <v>-1.19</v>
      </c>
      <c r="AT10" t="inlineStr">
        <is>
          <t>2025-11</t>
        </is>
      </c>
      <c r="AU10" t="n">
        <v>-9.52</v>
      </c>
      <c r="AW10" t="inlineStr">
        <is>
          <t>2025-11</t>
        </is>
      </c>
      <c r="AX10" t="n">
        <v>2</v>
      </c>
      <c r="AZ10" t="inlineStr">
        <is>
          <t>2025-12</t>
        </is>
      </c>
      <c r="BA10" t="n">
        <v>2.2441</v>
      </c>
      <c r="BC10" t="inlineStr">
        <is>
          <t>2025-11</t>
        </is>
      </c>
      <c r="BD10" t="n">
        <v>-0.13</v>
      </c>
      <c r="BF10" t="inlineStr">
        <is>
          <t>2025-12</t>
        </is>
      </c>
      <c r="BG10" t="n">
        <v>351.9171</v>
      </c>
      <c r="BI10" t="inlineStr">
        <is>
          <t>2022-11</t>
        </is>
      </c>
      <c r="BJ10" t="n">
        <v>3.78</v>
      </c>
      <c r="BL10" t="inlineStr">
        <is>
          <t>2026-01-29</t>
        </is>
      </c>
      <c r="BM10" t="n">
        <v>16.88</v>
      </c>
      <c r="BO10" t="inlineStr">
        <is>
          <t>2025-05-30</t>
        </is>
      </c>
      <c r="BP10" t="n">
        <v>-0.4676</v>
      </c>
      <c r="BR10" t="inlineStr">
        <is>
          <t>2025-05-30</t>
        </is>
      </c>
      <c r="BS10" t="n">
        <v>-0.5376</v>
      </c>
      <c r="BU10" t="inlineStr">
        <is>
          <t>2025-10-01</t>
        </is>
      </c>
      <c r="BV10" t="n">
        <v>6.5</v>
      </c>
      <c r="BX10" t="inlineStr">
        <is>
          <t>2025-03-27</t>
        </is>
      </c>
      <c r="BY10" t="n">
        <v>0.41</v>
      </c>
    </row>
    <row r="11">
      <c r="A11" t="inlineStr">
        <is>
          <t>2025-12</t>
        </is>
      </c>
      <c r="B11" t="n">
        <v>4.4</v>
      </c>
      <c r="D11" t="inlineStr">
        <is>
          <t>2026-03-07</t>
        </is>
      </c>
      <c r="E11" t="n">
        <v>211500</v>
      </c>
      <c r="G11" t="inlineStr">
        <is>
          <t>2025-12</t>
        </is>
      </c>
      <c r="H11" t="n">
        <v>-17</v>
      </c>
      <c r="J11" t="inlineStr">
        <is>
          <t>2025-12</t>
        </is>
      </c>
      <c r="K11" t="n">
        <v>2.65</v>
      </c>
      <c r="M11" t="inlineStr">
        <is>
          <t>2025-12</t>
        </is>
      </c>
      <c r="N11" t="n">
        <v>2.65</v>
      </c>
      <c r="P11" t="inlineStr">
        <is>
          <t>2025-12</t>
        </is>
      </c>
      <c r="Q11" t="n">
        <v>-0.21</v>
      </c>
      <c r="S11" t="inlineStr">
        <is>
          <t>2025-12</t>
        </is>
      </c>
      <c r="T11" t="n">
        <v>2.43</v>
      </c>
      <c r="V11" t="inlineStr">
        <is>
          <t>2024-12</t>
        </is>
      </c>
      <c r="W11" t="n">
        <v>49.2</v>
      </c>
      <c r="Y11" t="inlineStr">
        <is>
          <t>2024-12</t>
        </is>
      </c>
      <c r="Z11" t="n">
        <v>54</v>
      </c>
      <c r="AB11" t="inlineStr">
        <is>
          <t>2024-12</t>
        </is>
      </c>
      <c r="AC11" t="n">
        <v>36.9</v>
      </c>
      <c r="AE11" t="inlineStr">
        <is>
          <t>2025-12</t>
        </is>
      </c>
      <c r="AF11" t="n">
        <v>52.9</v>
      </c>
      <c r="AH11" t="inlineStr">
        <is>
          <t>2026-01</t>
        </is>
      </c>
      <c r="AI11" t="n">
        <v>2.7405</v>
      </c>
      <c r="AK11" t="inlineStr">
        <is>
          <t>2026-01</t>
        </is>
      </c>
      <c r="AL11" t="n">
        <v>0.7586000000000001</v>
      </c>
      <c r="AN11" t="inlineStr">
        <is>
          <t>2026-01</t>
        </is>
      </c>
      <c r="AO11" t="n">
        <v>0.548</v>
      </c>
      <c r="AQ11" t="inlineStr">
        <is>
          <t>2025-11</t>
        </is>
      </c>
      <c r="AR11" t="n">
        <v>-7.96</v>
      </c>
      <c r="AT11" t="inlineStr">
        <is>
          <t>2025-12</t>
        </is>
      </c>
      <c r="AU11" t="n">
        <v>-10.21</v>
      </c>
      <c r="AW11" t="inlineStr">
        <is>
          <t>2025-12</t>
        </is>
      </c>
      <c r="AX11" t="n">
        <v>2</v>
      </c>
      <c r="AZ11" t="inlineStr">
        <is>
          <t>2026-01</t>
        </is>
      </c>
      <c r="BA11" t="n">
        <v>2.3065</v>
      </c>
      <c r="BC11" t="inlineStr">
        <is>
          <t>2025-12</t>
        </is>
      </c>
      <c r="BD11" t="n">
        <v>-0.12</v>
      </c>
      <c r="BF11" t="inlineStr">
        <is>
          <t>2026-01</t>
        </is>
      </c>
      <c r="BG11" t="n">
        <v>349.751</v>
      </c>
      <c r="BI11" t="inlineStr">
        <is>
          <t>2022-12</t>
        </is>
      </c>
      <c r="BJ11" t="n">
        <v>4.1</v>
      </c>
      <c r="BL11" t="inlineStr">
        <is>
          <t>2026-01-30</t>
        </is>
      </c>
      <c r="BM11" t="n">
        <v>17.44</v>
      </c>
      <c r="BO11" t="inlineStr">
        <is>
          <t>2025-06-06</t>
        </is>
      </c>
      <c r="BP11" t="n">
        <v>-0.4768</v>
      </c>
      <c r="BR11" t="inlineStr">
        <is>
          <t>2025-06-06</t>
        </is>
      </c>
      <c r="BS11" t="n">
        <v>-0.8070000000000001</v>
      </c>
      <c r="BU11" t="inlineStr">
        <is>
          <t>2026-01-01</t>
        </is>
      </c>
      <c r="BV11" t="n">
        <v>5.3</v>
      </c>
      <c r="BX11" t="inlineStr">
        <is>
          <t>2025-03-28</t>
        </is>
      </c>
      <c r="BY11" t="n">
        <v>0.38</v>
      </c>
    </row>
    <row r="12">
      <c r="A12" t="inlineStr">
        <is>
          <t>2026-01</t>
        </is>
      </c>
      <c r="B12" t="n">
        <v>4.3</v>
      </c>
      <c r="D12" t="inlineStr">
        <is>
          <t>2026-03-14</t>
        </is>
      </c>
      <c r="E12" t="n">
        <v>210750</v>
      </c>
      <c r="G12" t="inlineStr">
        <is>
          <t>2026-01</t>
        </is>
      </c>
      <c r="H12" t="n">
        <v>126</v>
      </c>
      <c r="J12" t="inlineStr">
        <is>
          <t>2026-01</t>
        </is>
      </c>
      <c r="K12" t="n">
        <v>2.39</v>
      </c>
      <c r="M12" t="inlineStr">
        <is>
          <t>2026-01</t>
        </is>
      </c>
      <c r="N12" t="n">
        <v>2.51</v>
      </c>
      <c r="P12" t="inlineStr">
        <is>
          <t>2026-01</t>
        </is>
      </c>
      <c r="Q12" t="n">
        <v>0.52</v>
      </c>
      <c r="S12" t="inlineStr">
        <is>
          <t>2026-01</t>
        </is>
      </c>
      <c r="T12" t="n">
        <v>4.36</v>
      </c>
      <c r="V12" t="inlineStr">
        <is>
          <t>2025-01</t>
        </is>
      </c>
      <c r="W12" t="n">
        <v>50.9</v>
      </c>
      <c r="Y12" t="inlineStr">
        <is>
          <t>2025-01</t>
        </is>
      </c>
      <c r="Z12" t="n">
        <v>52.8</v>
      </c>
      <c r="AB12" t="inlineStr">
        <is>
          <t>2025-01</t>
        </is>
      </c>
      <c r="AC12" t="n">
        <v>39.5</v>
      </c>
      <c r="AE12" t="inlineStr">
        <is>
          <t>2026-01</t>
        </is>
      </c>
      <c r="AF12" t="n">
        <v>56.4</v>
      </c>
      <c r="AH12" t="inlineStr">
        <is>
          <t>2026-02</t>
        </is>
      </c>
      <c r="AI12" t="n">
        <v>2.9195</v>
      </c>
      <c r="AK12" t="inlineStr">
        <is>
          <t>2026-02</t>
        </is>
      </c>
      <c r="AL12" t="n">
        <v>0.7857</v>
      </c>
      <c r="AN12" t="inlineStr">
        <is>
          <t>2026-02</t>
        </is>
      </c>
      <c r="AO12" t="n">
        <v>0.4379</v>
      </c>
      <c r="AQ12" t="inlineStr">
        <is>
          <t>2025-12</t>
        </is>
      </c>
      <c r="AR12" t="n">
        <v>-1.69</v>
      </c>
      <c r="AT12" t="inlineStr">
        <is>
          <t>2026-01</t>
        </is>
      </c>
      <c r="AU12" t="n">
        <v>-2.57</v>
      </c>
      <c r="AW12" t="inlineStr">
        <is>
          <t>2026-01</t>
        </is>
      </c>
      <c r="AX12" t="n">
        <v>2</v>
      </c>
      <c r="AZ12" t="inlineStr">
        <is>
          <t>2026-02</t>
        </is>
      </c>
      <c r="BA12" t="n">
        <v>2.3011</v>
      </c>
      <c r="BC12" t="inlineStr">
        <is>
          <t>2026-01</t>
        </is>
      </c>
      <c r="BD12" t="n">
        <v>0.2</v>
      </c>
      <c r="BF12" t="inlineStr">
        <is>
          <t>2026-02</t>
        </is>
      </c>
      <c r="BG12" t="n">
        <v>360.2289</v>
      </c>
      <c r="BI12" t="inlineStr">
        <is>
          <t>2023-01</t>
        </is>
      </c>
      <c r="BJ12" t="n">
        <v>4.33</v>
      </c>
      <c r="BL12" t="inlineStr">
        <is>
          <t>2026-02-02</t>
        </is>
      </c>
      <c r="BM12" t="n">
        <v>16.34</v>
      </c>
      <c r="BO12" t="inlineStr">
        <is>
          <t>2025-06-13</t>
        </is>
      </c>
      <c r="BP12" t="n">
        <v>-0.48431</v>
      </c>
      <c r="BR12" t="inlineStr">
        <is>
          <t>2025-06-13</t>
        </is>
      </c>
      <c r="BS12" t="n">
        <v>-0.7843</v>
      </c>
      <c r="BX12" t="inlineStr">
        <is>
          <t>2025-03-31</t>
        </is>
      </c>
      <c r="BY12" t="n">
        <v>0.34</v>
      </c>
    </row>
    <row r="13">
      <c r="A13" t="inlineStr">
        <is>
          <t>2026-02</t>
        </is>
      </c>
      <c r="B13" t="n">
        <v>4.4</v>
      </c>
      <c r="D13" t="inlineStr">
        <is>
          <t>2026-03-21</t>
        </is>
      </c>
      <c r="E13" t="n">
        <v>210500</v>
      </c>
      <c r="G13" t="inlineStr">
        <is>
          <t>2026-02</t>
        </is>
      </c>
      <c r="H13" t="n">
        <v>-92</v>
      </c>
      <c r="J13" t="inlineStr">
        <is>
          <t>2026-02</t>
        </is>
      </c>
      <c r="K13" t="n">
        <v>2.43</v>
      </c>
      <c r="M13" t="inlineStr">
        <is>
          <t>2026-02</t>
        </is>
      </c>
      <c r="N13" t="n">
        <v>2.47</v>
      </c>
      <c r="P13" t="inlineStr">
        <is>
          <t>2026-02</t>
        </is>
      </c>
      <c r="Q13" t="n">
        <v>2.08</v>
      </c>
      <c r="S13" t="inlineStr">
        <is>
          <t>2026-02</t>
        </is>
      </c>
      <c r="T13" t="n">
        <v>7.01</v>
      </c>
      <c r="V13" t="inlineStr">
        <is>
          <t>2025-02</t>
        </is>
      </c>
      <c r="W13" t="n">
        <v>50.3</v>
      </c>
      <c r="Y13" t="inlineStr">
        <is>
          <t>2025-02</t>
        </is>
      </c>
      <c r="Z13" t="n">
        <v>53.2</v>
      </c>
      <c r="AB13" t="inlineStr">
        <is>
          <t>2025-02</t>
        </is>
      </c>
      <c r="AC13" t="n">
        <v>45.5</v>
      </c>
      <c r="AE13" t="inlineStr">
        <is>
          <t>2026-02</t>
        </is>
      </c>
      <c r="AF13" t="n">
        <v>56.6</v>
      </c>
      <c r="AH13" t="inlineStr">
        <is>
          <t>2026-03</t>
        </is>
      </c>
      <c r="AI13" t="n">
        <v>3.1873</v>
      </c>
      <c r="AK13" t="inlineStr">
        <is>
          <t>2026-03</t>
        </is>
      </c>
      <c r="AL13" t="n">
        <v>0.8804999999999999</v>
      </c>
      <c r="AN13" t="inlineStr">
        <is>
          <t>2026-03</t>
        </is>
      </c>
      <c r="AO13" t="n">
        <v>0.5268</v>
      </c>
      <c r="AQ13" t="inlineStr">
        <is>
          <t>2026-01</t>
        </is>
      </c>
      <c r="AR13" t="n">
        <v>-5.07</v>
      </c>
      <c r="AT13" t="inlineStr">
        <is>
          <t>2026-02</t>
        </is>
      </c>
      <c r="AU13" t="n">
        <v>-4.97</v>
      </c>
      <c r="AW13" t="inlineStr">
        <is>
          <t>2026-02</t>
        </is>
      </c>
      <c r="AX13" t="n">
        <v>1.9</v>
      </c>
      <c r="AZ13" t="inlineStr">
        <is>
          <t>2026-03</t>
        </is>
      </c>
      <c r="BA13" t="n">
        <v>2.3368</v>
      </c>
      <c r="BC13" t="inlineStr">
        <is>
          <t>2026-02</t>
        </is>
      </c>
      <c r="BD13" t="n">
        <v>-0.11</v>
      </c>
      <c r="BF13" t="inlineStr">
        <is>
          <t>2026-03</t>
        </is>
      </c>
      <c r="BG13" t="n">
        <v>407.4855</v>
      </c>
      <c r="BI13" t="inlineStr">
        <is>
          <t>2023-02</t>
        </is>
      </c>
      <c r="BJ13" t="n">
        <v>4.57</v>
      </c>
      <c r="BL13" t="inlineStr">
        <is>
          <t>2026-02-03</t>
        </is>
      </c>
      <c r="BM13" t="n">
        <v>18</v>
      </c>
      <c r="BO13" t="inlineStr">
        <is>
          <t>2025-06-20</t>
        </is>
      </c>
      <c r="BP13" t="n">
        <v>-0.49077</v>
      </c>
      <c r="BR13" t="inlineStr">
        <is>
          <t>2025-06-20</t>
        </is>
      </c>
      <c r="BS13" t="n">
        <v>-0.6531</v>
      </c>
      <c r="BX13" t="inlineStr">
        <is>
          <t>2025-04-01</t>
        </is>
      </c>
      <c r="BY13" t="n">
        <v>0.3</v>
      </c>
    </row>
    <row r="14">
      <c r="V14" t="inlineStr">
        <is>
          <t>2025-03</t>
        </is>
      </c>
      <c r="W14" t="n">
        <v>48.9</v>
      </c>
      <c r="Y14" t="inlineStr">
        <is>
          <t>2025-03</t>
        </is>
      </c>
      <c r="Z14" t="n">
        <v>50.8</v>
      </c>
      <c r="AB14" t="inlineStr">
        <is>
          <t>2025-03</t>
        </is>
      </c>
      <c r="AC14" t="n">
        <v>47.6</v>
      </c>
      <c r="BI14" t="inlineStr">
        <is>
          <t>2023-03</t>
        </is>
      </c>
      <c r="BJ14" t="n">
        <v>4.65</v>
      </c>
      <c r="BL14" t="inlineStr">
        <is>
          <t>2026-02-04</t>
        </is>
      </c>
      <c r="BM14" t="n">
        <v>18.64</v>
      </c>
      <c r="BO14" t="inlineStr">
        <is>
          <t>2025-06-27</t>
        </is>
      </c>
      <c r="BP14" t="n">
        <v>-0.49747</v>
      </c>
      <c r="BR14" t="inlineStr">
        <is>
          <t>2025-06-27</t>
        </is>
      </c>
      <c r="BS14" t="n">
        <v>-0.7050999999999999</v>
      </c>
      <c r="BX14" t="inlineStr">
        <is>
          <t>2025-04-02</t>
        </is>
      </c>
      <c r="BY14" t="n">
        <v>0.29</v>
      </c>
    </row>
    <row r="15">
      <c r="V15" t="inlineStr">
        <is>
          <t>2025-04</t>
        </is>
      </c>
      <c r="W15" t="n">
        <v>48.8</v>
      </c>
      <c r="Y15" t="inlineStr">
        <is>
          <t>2025-04</t>
        </is>
      </c>
      <c r="Z15" t="n">
        <v>51.6</v>
      </c>
      <c r="AB15" t="inlineStr">
        <is>
          <t>2025-04</t>
        </is>
      </c>
      <c r="AC15" t="n">
        <v>44.6</v>
      </c>
      <c r="BI15" t="inlineStr">
        <is>
          <t>2023-04</t>
        </is>
      </c>
      <c r="BJ15" t="n">
        <v>4.83</v>
      </c>
      <c r="BL15" t="inlineStr">
        <is>
          <t>2026-02-05</t>
        </is>
      </c>
      <c r="BM15" t="n">
        <v>21.77</v>
      </c>
      <c r="BO15" t="inlineStr">
        <is>
          <t>2025-07-04</t>
        </is>
      </c>
      <c r="BP15" t="n">
        <v>-0.50443</v>
      </c>
      <c r="BR15" t="inlineStr">
        <is>
          <t>2025-07-04</t>
        </is>
      </c>
      <c r="BS15" t="n">
        <v>-0.8798</v>
      </c>
      <c r="BX15" t="inlineStr">
        <is>
          <t>2025-04-03</t>
        </is>
      </c>
      <c r="BY15" t="n">
        <v>0.35</v>
      </c>
    </row>
    <row r="16">
      <c r="V16" t="inlineStr">
        <is>
          <t>2025-05</t>
        </is>
      </c>
      <c r="W16" t="n">
        <v>48.6</v>
      </c>
      <c r="Y16" t="inlineStr">
        <is>
          <t>2025-05</t>
        </is>
      </c>
      <c r="Z16" t="n">
        <v>50.2</v>
      </c>
      <c r="AB16" t="inlineStr">
        <is>
          <t>2025-05</t>
        </is>
      </c>
      <c r="AC16" t="n">
        <v>40.5</v>
      </c>
      <c r="BI16" t="inlineStr">
        <is>
          <t>2023-05</t>
        </is>
      </c>
      <c r="BJ16" t="n">
        <v>5.06</v>
      </c>
      <c r="BL16" t="inlineStr">
        <is>
          <t>2026-02-06</t>
        </is>
      </c>
      <c r="BM16" t="n">
        <v>17.76</v>
      </c>
      <c r="BO16" t="inlineStr">
        <is>
          <t>2025-07-11</t>
        </is>
      </c>
      <c r="BP16" t="n">
        <v>-0.5109399999999999</v>
      </c>
      <c r="BR16" t="inlineStr">
        <is>
          <t>2025-07-11</t>
        </is>
      </c>
      <c r="BS16" t="n">
        <v>-0.7524</v>
      </c>
      <c r="BX16" t="inlineStr">
        <is>
          <t>2025-04-04</t>
        </is>
      </c>
      <c r="BY16" t="n">
        <v>0.33</v>
      </c>
    </row>
    <row r="17">
      <c r="V17" t="inlineStr">
        <is>
          <t>2025-06</t>
        </is>
      </c>
      <c r="W17" t="n">
        <v>49</v>
      </c>
      <c r="Y17" t="inlineStr">
        <is>
          <t>2025-06</t>
        </is>
      </c>
      <c r="Z17" t="n">
        <v>50.8</v>
      </c>
      <c r="AB17" t="inlineStr">
        <is>
          <t>2025-06</t>
        </is>
      </c>
      <c r="AC17" t="n">
        <v>40.4</v>
      </c>
      <c r="BI17" t="inlineStr">
        <is>
          <t>2023-06</t>
        </is>
      </c>
      <c r="BJ17" t="n">
        <v>5.08</v>
      </c>
      <c r="BL17" t="inlineStr">
        <is>
          <t>2026-02-09</t>
        </is>
      </c>
      <c r="BM17" t="n">
        <v>17.36</v>
      </c>
      <c r="BO17" t="inlineStr">
        <is>
          <t>2025-07-18</t>
        </is>
      </c>
      <c r="BP17" t="n">
        <v>-0.51595</v>
      </c>
      <c r="BR17" t="inlineStr">
        <is>
          <t>2025-07-18</t>
        </is>
      </c>
      <c r="BS17" t="n">
        <v>-0.7176</v>
      </c>
      <c r="BX17" t="inlineStr">
        <is>
          <t>2025-04-07</t>
        </is>
      </c>
      <c r="BY17" t="n">
        <v>0.42</v>
      </c>
    </row>
    <row r="18">
      <c r="V18" t="inlineStr">
        <is>
          <t>2025-07</t>
        </is>
      </c>
      <c r="W18" t="n">
        <v>48.4</v>
      </c>
      <c r="Y18" t="inlineStr">
        <is>
          <t>2025-07</t>
        </is>
      </c>
      <c r="Z18" t="n">
        <v>50.5</v>
      </c>
      <c r="AB18" t="inlineStr">
        <is>
          <t>2025-07</t>
        </is>
      </c>
      <c r="AC18" t="n">
        <v>47.1</v>
      </c>
      <c r="BI18" t="inlineStr">
        <is>
          <t>2023-07</t>
        </is>
      </c>
      <c r="BJ18" t="n">
        <v>5.12</v>
      </c>
      <c r="BL18" t="inlineStr">
        <is>
          <t>2026-02-10</t>
        </is>
      </c>
      <c r="BM18" t="n">
        <v>17.79</v>
      </c>
      <c r="BO18" t="inlineStr">
        <is>
          <t>2025-07-25</t>
        </is>
      </c>
      <c r="BP18" t="n">
        <v>-0.52017</v>
      </c>
      <c r="BR18" t="inlineStr">
        <is>
          <t>2025-07-25</t>
        </is>
      </c>
      <c r="BS18" t="n">
        <v>-0.802</v>
      </c>
      <c r="BX18" t="inlineStr">
        <is>
          <t>2025-04-08</t>
        </is>
      </c>
      <c r="BY18" t="n">
        <v>0.55</v>
      </c>
    </row>
    <row r="19">
      <c r="V19" t="inlineStr">
        <is>
          <t>2025-08</t>
        </is>
      </c>
      <c r="W19" t="n">
        <v>48.9</v>
      </c>
      <c r="Y19" t="inlineStr">
        <is>
          <t>2025-08</t>
        </is>
      </c>
      <c r="Z19" t="n">
        <v>51.9</v>
      </c>
      <c r="AB19" t="inlineStr">
        <is>
          <t>2025-08</t>
        </is>
      </c>
      <c r="AC19" t="n">
        <v>41.5</v>
      </c>
      <c r="BI19" t="inlineStr">
        <is>
          <t>2023-08</t>
        </is>
      </c>
      <c r="BJ19" t="n">
        <v>5.33</v>
      </c>
      <c r="BL19" t="inlineStr">
        <is>
          <t>2026-02-11</t>
        </is>
      </c>
      <c r="BM19" t="n">
        <v>17.65</v>
      </c>
      <c r="BO19" t="inlineStr">
        <is>
          <t>2025-08-01</t>
        </is>
      </c>
      <c r="BP19" t="n">
        <v>-0.523</v>
      </c>
      <c r="BR19" t="inlineStr">
        <is>
          <t>2025-08-01</t>
        </is>
      </c>
      <c r="BS19" t="n">
        <v>-0.6832</v>
      </c>
      <c r="BX19" t="inlineStr">
        <is>
          <t>2025-04-09</t>
        </is>
      </c>
      <c r="BY19" t="n">
        <v>0.43</v>
      </c>
    </row>
    <row r="20">
      <c r="V20" t="inlineStr">
        <is>
          <t>2025-09</t>
        </is>
      </c>
      <c r="W20" t="n">
        <v>48.9</v>
      </c>
      <c r="Y20" t="inlineStr">
        <is>
          <t>2025-09</t>
        </is>
      </c>
      <c r="Z20" t="n">
        <v>50.3</v>
      </c>
      <c r="AB20" t="inlineStr">
        <is>
          <t>2025-09</t>
        </is>
      </c>
      <c r="AC20" t="n">
        <v>40.6</v>
      </c>
      <c r="BI20" t="inlineStr">
        <is>
          <t>2023-09</t>
        </is>
      </c>
      <c r="BJ20" t="n">
        <v>5.33</v>
      </c>
      <c r="BL20" t="inlineStr">
        <is>
          <t>2026-02-12</t>
        </is>
      </c>
      <c r="BM20" t="n">
        <v>20.82</v>
      </c>
      <c r="BO20" t="inlineStr">
        <is>
          <t>2025-08-08</t>
        </is>
      </c>
      <c r="BP20" t="n">
        <v>-0.52477</v>
      </c>
      <c r="BR20" t="inlineStr">
        <is>
          <t>2025-08-08</t>
        </is>
      </c>
      <c r="BS20" t="n">
        <v>-0.5732</v>
      </c>
      <c r="BX20" t="inlineStr">
        <is>
          <t>2025-04-10</t>
        </is>
      </c>
      <c r="BY20" t="n">
        <v>0.5600000000000001</v>
      </c>
    </row>
    <row r="21">
      <c r="V21" t="inlineStr">
        <is>
          <t>2025-10</t>
        </is>
      </c>
      <c r="W21" t="n">
        <v>48.8</v>
      </c>
      <c r="Y21" t="inlineStr">
        <is>
          <t>2025-10</t>
        </is>
      </c>
      <c r="Z21" t="n">
        <v>52</v>
      </c>
      <c r="AB21" t="inlineStr">
        <is>
          <t>2025-10</t>
        </is>
      </c>
      <c r="AC21" t="n">
        <v>43.8</v>
      </c>
      <c r="BI21" t="inlineStr">
        <is>
          <t>2023-10</t>
        </is>
      </c>
      <c r="BJ21" t="n">
        <v>5.33</v>
      </c>
      <c r="BL21" t="inlineStr">
        <is>
          <t>2026-02-13</t>
        </is>
      </c>
      <c r="BM21" t="n">
        <v>20.6</v>
      </c>
      <c r="BO21" t="inlineStr">
        <is>
          <t>2025-08-15</t>
        </is>
      </c>
      <c r="BP21" t="n">
        <v>-0.52727</v>
      </c>
      <c r="BR21" t="inlineStr">
        <is>
          <t>2025-08-15</t>
        </is>
      </c>
      <c r="BS21" t="n">
        <v>-0.8214</v>
      </c>
      <c r="BX21" t="inlineStr">
        <is>
          <t>2025-04-11</t>
        </is>
      </c>
      <c r="BY21" t="n">
        <v>0.52</v>
      </c>
    </row>
    <row r="22">
      <c r="V22" t="inlineStr">
        <is>
          <t>2025-11</t>
        </is>
      </c>
      <c r="W22" t="n">
        <v>48</v>
      </c>
      <c r="Y22" t="inlineStr">
        <is>
          <t>2025-11</t>
        </is>
      </c>
      <c r="Z22" t="n">
        <v>52.4</v>
      </c>
      <c r="AB22" t="inlineStr">
        <is>
          <t>2025-11</t>
        </is>
      </c>
      <c r="AC22" t="n">
        <v>36.3</v>
      </c>
      <c r="BI22" t="inlineStr">
        <is>
          <t>2023-11</t>
        </is>
      </c>
      <c r="BJ22" t="n">
        <v>5.33</v>
      </c>
      <c r="BL22" t="inlineStr">
        <is>
          <t>2026-02-16</t>
        </is>
      </c>
      <c r="BM22" t="n">
        <v>21.2</v>
      </c>
      <c r="BO22" t="inlineStr">
        <is>
          <t>2025-08-22</t>
        </is>
      </c>
      <c r="BP22" t="n">
        <v>-0.52838</v>
      </c>
      <c r="BR22" t="inlineStr">
        <is>
          <t>2025-08-22</t>
        </is>
      </c>
      <c r="BS22" t="n">
        <v>-0.7556</v>
      </c>
      <c r="BX22" t="inlineStr">
        <is>
          <t>2025-04-14</t>
        </is>
      </c>
      <c r="BY22" t="n">
        <v>0.54</v>
      </c>
    </row>
    <row r="23">
      <c r="V23" t="inlineStr">
        <is>
          <t>2025-12</t>
        </is>
      </c>
      <c r="W23" t="n">
        <v>47.9</v>
      </c>
      <c r="Y23" t="inlineStr">
        <is>
          <t>2025-12</t>
        </is>
      </c>
      <c r="Z23" t="n">
        <v>53.8</v>
      </c>
      <c r="AB23" t="inlineStr">
        <is>
          <t>2025-12</t>
        </is>
      </c>
      <c r="AC23" t="n">
        <v>43.5</v>
      </c>
      <c r="BI23" t="inlineStr">
        <is>
          <t>2023-12</t>
        </is>
      </c>
      <c r="BJ23" t="n">
        <v>5.33</v>
      </c>
      <c r="BL23" t="inlineStr">
        <is>
          <t>2026-02-17</t>
        </is>
      </c>
      <c r="BM23" t="n">
        <v>20.29</v>
      </c>
      <c r="BO23" t="inlineStr">
        <is>
          <t>2025-08-29</t>
        </is>
      </c>
      <c r="BP23" t="n">
        <v>-0.52925</v>
      </c>
      <c r="BR23" t="inlineStr">
        <is>
          <t>2025-08-29</t>
        </is>
      </c>
      <c r="BS23" t="n">
        <v>-0.6102</v>
      </c>
      <c r="BX23" t="inlineStr">
        <is>
          <t>2025-04-15</t>
        </is>
      </c>
      <c r="BY23" t="n">
        <v>0.51</v>
      </c>
    </row>
    <row r="24">
      <c r="V24" t="inlineStr">
        <is>
          <t>2026-01</t>
        </is>
      </c>
      <c r="W24" t="n">
        <v>52.6</v>
      </c>
      <c r="Y24" t="inlineStr">
        <is>
          <t>2026-01</t>
        </is>
      </c>
      <c r="Z24" t="n">
        <v>53.8</v>
      </c>
      <c r="AB24" t="inlineStr">
        <is>
          <t>2026-01</t>
        </is>
      </c>
      <c r="AC24" t="n">
        <v>54</v>
      </c>
      <c r="BI24" t="inlineStr">
        <is>
          <t>2024-01</t>
        </is>
      </c>
      <c r="BJ24" t="n">
        <v>5.33</v>
      </c>
      <c r="BL24" t="inlineStr">
        <is>
          <t>2026-02-18</t>
        </is>
      </c>
      <c r="BM24" t="n">
        <v>19.62</v>
      </c>
      <c r="BO24" t="inlineStr">
        <is>
          <t>2025-09-05</t>
        </is>
      </c>
      <c r="BP24" t="n">
        <v>-0.5293099999999999</v>
      </c>
      <c r="BR24" t="inlineStr">
        <is>
          <t>2025-09-05</t>
        </is>
      </c>
      <c r="BS24" t="n">
        <v>-0.4257</v>
      </c>
      <c r="BX24" t="inlineStr">
        <is>
          <t>2025-04-16</t>
        </is>
      </c>
      <c r="BY24" t="n">
        <v>0.52</v>
      </c>
    </row>
    <row r="25">
      <c r="V25" t="inlineStr">
        <is>
          <t>2026-02</t>
        </is>
      </c>
      <c r="W25" t="n">
        <v>52.4</v>
      </c>
      <c r="Y25" t="inlineStr">
        <is>
          <t>2026-02</t>
        </is>
      </c>
      <c r="Z25" t="n">
        <v>56.1</v>
      </c>
      <c r="AB25" t="inlineStr">
        <is>
          <t>2026-02</t>
        </is>
      </c>
      <c r="AC25" t="n">
        <v>57.7</v>
      </c>
      <c r="BI25" t="inlineStr">
        <is>
          <t>2024-02</t>
        </is>
      </c>
      <c r="BJ25" t="n">
        <v>5.33</v>
      </c>
      <c r="BL25" t="inlineStr">
        <is>
          <t>2026-02-19</t>
        </is>
      </c>
      <c r="BM25" t="n">
        <v>20.23</v>
      </c>
      <c r="BO25" t="inlineStr">
        <is>
          <t>2025-09-12</t>
        </is>
      </c>
      <c r="BP25" t="n">
        <v>-0.52941</v>
      </c>
      <c r="BR25" t="inlineStr">
        <is>
          <t>2025-09-12</t>
        </is>
      </c>
      <c r="BS25" t="n">
        <v>-0.5694</v>
      </c>
      <c r="BX25" t="inlineStr">
        <is>
          <t>2025-04-17</t>
        </is>
      </c>
      <c r="BY25" t="n">
        <v>0.53</v>
      </c>
    </row>
    <row r="26">
      <c r="BI26" t="inlineStr">
        <is>
          <t>2024-03</t>
        </is>
      </c>
      <c r="BJ26" t="n">
        <v>5.33</v>
      </c>
      <c r="BL26" t="inlineStr">
        <is>
          <t>2026-02-20</t>
        </is>
      </c>
      <c r="BM26" t="n">
        <v>19.09</v>
      </c>
      <c r="BO26" t="inlineStr">
        <is>
          <t>2025-09-19</t>
        </is>
      </c>
      <c r="BP26" t="n">
        <v>-0.52813</v>
      </c>
      <c r="BR26" t="inlineStr">
        <is>
          <t>2025-09-19</t>
        </is>
      </c>
      <c r="BS26" t="n">
        <v>-0.5962</v>
      </c>
      <c r="BX26" t="inlineStr">
        <is>
          <t>2025-04-21</t>
        </is>
      </c>
      <c r="BY26" t="n">
        <v>0.67</v>
      </c>
    </row>
    <row r="27">
      <c r="BI27" t="inlineStr">
        <is>
          <t>2024-04</t>
        </is>
      </c>
      <c r="BJ27" t="n">
        <v>5.33</v>
      </c>
      <c r="BL27" t="inlineStr">
        <is>
          <t>2026-02-23</t>
        </is>
      </c>
      <c r="BM27" t="n">
        <v>21.01</v>
      </c>
      <c r="BO27" t="inlineStr">
        <is>
          <t>2025-09-26</t>
        </is>
      </c>
      <c r="BP27" t="n">
        <v>-0.52708</v>
      </c>
      <c r="BR27" t="inlineStr">
        <is>
          <t>2025-09-26</t>
        </is>
      </c>
      <c r="BS27" t="n">
        <v>-0.54</v>
      </c>
      <c r="BX27" t="inlineStr">
        <is>
          <t>2025-04-22</t>
        </is>
      </c>
      <c r="BY27" t="n">
        <v>0.65</v>
      </c>
    </row>
    <row r="28">
      <c r="BI28" t="inlineStr">
        <is>
          <t>2024-05</t>
        </is>
      </c>
      <c r="BJ28" t="n">
        <v>5.33</v>
      </c>
      <c r="BL28" t="inlineStr">
        <is>
          <t>2026-02-24</t>
        </is>
      </c>
      <c r="BM28" t="n">
        <v>19.55</v>
      </c>
      <c r="BO28" t="inlineStr">
        <is>
          <t>2025-10-03</t>
        </is>
      </c>
      <c r="BP28" t="n">
        <v>-0.52568</v>
      </c>
      <c r="BR28" t="inlineStr">
        <is>
          <t>2025-10-03</t>
        </is>
      </c>
      <c r="BS28" t="n">
        <v>-0.4993</v>
      </c>
      <c r="BX28" t="inlineStr">
        <is>
          <t>2025-04-23</t>
        </is>
      </c>
      <c r="BY28" t="n">
        <v>0.59</v>
      </c>
    </row>
    <row r="29">
      <c r="BI29" t="inlineStr">
        <is>
          <t>2024-06</t>
        </is>
      </c>
      <c r="BJ29" t="n">
        <v>5.33</v>
      </c>
      <c r="BL29" t="inlineStr">
        <is>
          <t>2026-02-25</t>
        </is>
      </c>
      <c r="BM29" t="n">
        <v>17.93</v>
      </c>
      <c r="BO29" t="inlineStr">
        <is>
          <t>2025-10-10</t>
        </is>
      </c>
      <c r="BP29" t="n">
        <v>-0.52341</v>
      </c>
      <c r="BR29" t="inlineStr">
        <is>
          <t>2025-10-10</t>
        </is>
      </c>
      <c r="BS29" t="n">
        <v>-0.4885</v>
      </c>
      <c r="BX29" t="inlineStr">
        <is>
          <t>2025-04-24</t>
        </is>
      </c>
      <c r="BY29" t="n">
        <v>0.55</v>
      </c>
    </row>
    <row r="30">
      <c r="BI30" t="inlineStr">
        <is>
          <t>2024-07</t>
        </is>
      </c>
      <c r="BJ30" t="n">
        <v>5.33</v>
      </c>
      <c r="BL30" t="inlineStr">
        <is>
          <t>2026-02-26</t>
        </is>
      </c>
      <c r="BM30" t="n">
        <v>18.63</v>
      </c>
      <c r="BO30" t="inlineStr">
        <is>
          <t>2025-10-17</t>
        </is>
      </c>
      <c r="BP30" t="n">
        <v>-0.51964</v>
      </c>
      <c r="BR30" t="inlineStr">
        <is>
          <t>2025-10-17</t>
        </is>
      </c>
      <c r="BS30" t="n">
        <v>-0.3717</v>
      </c>
      <c r="BX30" t="inlineStr">
        <is>
          <t>2025-04-25</t>
        </is>
      </c>
      <c r="BY30" t="n">
        <v>0.55</v>
      </c>
    </row>
    <row r="31">
      <c r="BI31" t="inlineStr">
        <is>
          <t>2024-08</t>
        </is>
      </c>
      <c r="BJ31" t="n">
        <v>5.33</v>
      </c>
      <c r="BL31" t="inlineStr">
        <is>
          <t>2026-02-27</t>
        </is>
      </c>
      <c r="BM31" t="n">
        <v>19.86</v>
      </c>
      <c r="BO31" t="inlineStr">
        <is>
          <t>2025-10-24</t>
        </is>
      </c>
      <c r="BP31" t="n">
        <v>-0.51632</v>
      </c>
      <c r="BR31" t="inlineStr">
        <is>
          <t>2025-10-24</t>
        </is>
      </c>
      <c r="BS31" t="n">
        <v>-0.513</v>
      </c>
      <c r="BX31" t="inlineStr">
        <is>
          <t>2025-04-28</t>
        </is>
      </c>
      <c r="BY31" t="n">
        <v>0.5600000000000001</v>
      </c>
    </row>
    <row r="32">
      <c r="BI32" t="inlineStr">
        <is>
          <t>2024-09</t>
        </is>
      </c>
      <c r="BJ32" t="n">
        <v>5.13</v>
      </c>
      <c r="BL32" t="inlineStr">
        <is>
          <t>2026-03-02</t>
        </is>
      </c>
      <c r="BM32" t="n">
        <v>21.44</v>
      </c>
      <c r="BO32" t="inlineStr">
        <is>
          <t>2025-10-31</t>
        </is>
      </c>
      <c r="BP32" t="n">
        <v>-0.51262</v>
      </c>
      <c r="BR32" t="inlineStr">
        <is>
          <t>2025-10-31</t>
        </is>
      </c>
      <c r="BS32" t="n">
        <v>-0.4629</v>
      </c>
      <c r="BX32" t="inlineStr">
        <is>
          <t>2025-04-29</t>
        </is>
      </c>
      <c r="BY32" t="n">
        <v>0.54</v>
      </c>
    </row>
    <row r="33">
      <c r="BI33" t="inlineStr">
        <is>
          <t>2024-10</t>
        </is>
      </c>
      <c r="BJ33" t="n">
        <v>4.83</v>
      </c>
      <c r="BL33" t="inlineStr">
        <is>
          <t>2026-03-03</t>
        </is>
      </c>
      <c r="BM33" t="n">
        <v>23.57</v>
      </c>
      <c r="BO33" t="inlineStr">
        <is>
          <t>2025-11-07</t>
        </is>
      </c>
      <c r="BP33" t="n">
        <v>-0.50934</v>
      </c>
      <c r="BR33" t="inlineStr">
        <is>
          <t>2025-11-07</t>
        </is>
      </c>
      <c r="BS33" t="n">
        <v>-0.3137</v>
      </c>
      <c r="BX33" t="inlineStr">
        <is>
          <t>2025-04-30</t>
        </is>
      </c>
      <c r="BY33" t="n">
        <v>0.57</v>
      </c>
    </row>
    <row r="34">
      <c r="BI34" t="inlineStr">
        <is>
          <t>2024-11</t>
        </is>
      </c>
      <c r="BJ34" t="n">
        <v>4.64</v>
      </c>
      <c r="BL34" t="inlineStr">
        <is>
          <t>2026-03-04</t>
        </is>
      </c>
      <c r="BM34" t="n">
        <v>21.15</v>
      </c>
      <c r="BO34" t="inlineStr">
        <is>
          <t>2025-11-14</t>
        </is>
      </c>
      <c r="BP34" t="n">
        <v>-0.5076000000000001</v>
      </c>
      <c r="BR34" t="inlineStr">
        <is>
          <t>2025-11-14</t>
        </is>
      </c>
      <c r="BS34" t="n">
        <v>-0.5096000000000001</v>
      </c>
      <c r="BX34" t="inlineStr">
        <is>
          <t>2025-05-01</t>
        </is>
      </c>
      <c r="BY34" t="n">
        <v>0.55</v>
      </c>
    </row>
    <row r="35">
      <c r="BI35" t="inlineStr">
        <is>
          <t>2024-12</t>
        </is>
      </c>
      <c r="BJ35" t="n">
        <v>4.48</v>
      </c>
      <c r="BL35" t="inlineStr">
        <is>
          <t>2026-03-05</t>
        </is>
      </c>
      <c r="BM35" t="n">
        <v>23.75</v>
      </c>
      <c r="BO35" t="inlineStr">
        <is>
          <t>2025-11-21</t>
        </is>
      </c>
      <c r="BP35" t="n">
        <v>-0.50715</v>
      </c>
      <c r="BR35" t="inlineStr">
        <is>
          <t>2025-11-21</t>
        </is>
      </c>
      <c r="BS35" t="n">
        <v>-0.1348</v>
      </c>
      <c r="BX35" t="inlineStr">
        <is>
          <t>2025-05-02</t>
        </is>
      </c>
      <c r="BY35" t="n">
        <v>0.5</v>
      </c>
    </row>
    <row r="36">
      <c r="BI36" t="inlineStr">
        <is>
          <t>2025-01</t>
        </is>
      </c>
      <c r="BJ36" t="n">
        <v>4.33</v>
      </c>
      <c r="BL36" t="inlineStr">
        <is>
          <t>2026-03-06</t>
        </is>
      </c>
      <c r="BM36" t="n">
        <v>29.49</v>
      </c>
      <c r="BO36" t="inlineStr">
        <is>
          <t>2025-11-28</t>
        </is>
      </c>
      <c r="BP36" t="n">
        <v>-0.50902</v>
      </c>
      <c r="BR36" t="inlineStr">
        <is>
          <t>2025-11-28</t>
        </is>
      </c>
      <c r="BS36" t="n">
        <v>-0.3969</v>
      </c>
      <c r="BX36" t="inlineStr">
        <is>
          <t>2025-05-05</t>
        </is>
      </c>
      <c r="BY36" t="n">
        <v>0.53</v>
      </c>
    </row>
    <row r="37">
      <c r="BI37" t="inlineStr">
        <is>
          <t>2025-02</t>
        </is>
      </c>
      <c r="BJ37" t="n">
        <v>4.33</v>
      </c>
      <c r="BL37" t="inlineStr">
        <is>
          <t>2026-03-09</t>
        </is>
      </c>
      <c r="BM37" t="n">
        <v>25.5</v>
      </c>
      <c r="BO37" t="inlineStr">
        <is>
          <t>2025-12-05</t>
        </is>
      </c>
      <c r="BP37" t="n">
        <v>-0.51239</v>
      </c>
      <c r="BR37" t="inlineStr">
        <is>
          <t>2025-12-05</t>
        </is>
      </c>
      <c r="BS37" t="n">
        <v>-0.4261</v>
      </c>
      <c r="BX37" t="inlineStr">
        <is>
          <t>2025-05-06</t>
        </is>
      </c>
      <c r="BY37" t="n">
        <v>0.52</v>
      </c>
    </row>
    <row r="38">
      <c r="BI38" t="inlineStr">
        <is>
          <t>2025-03</t>
        </is>
      </c>
      <c r="BJ38" t="n">
        <v>4.33</v>
      </c>
      <c r="BL38" t="inlineStr">
        <is>
          <t>2026-03-10</t>
        </is>
      </c>
      <c r="BM38" t="n">
        <v>24.93</v>
      </c>
      <c r="BO38" t="inlineStr">
        <is>
          <t>2025-12-12</t>
        </is>
      </c>
      <c r="BP38" t="n">
        <v>-0.51738</v>
      </c>
      <c r="BR38" t="inlineStr">
        <is>
          <t>2025-12-12</t>
        </is>
      </c>
      <c r="BS38" t="n">
        <v>-0.3598</v>
      </c>
      <c r="BX38" t="inlineStr">
        <is>
          <t>2025-05-07</t>
        </is>
      </c>
      <c r="BY38" t="n">
        <v>0.48</v>
      </c>
    </row>
    <row r="39">
      <c r="BI39" t="inlineStr">
        <is>
          <t>2025-04</t>
        </is>
      </c>
      <c r="BJ39" t="n">
        <v>4.33</v>
      </c>
      <c r="BL39" t="inlineStr">
        <is>
          <t>2026-03-11</t>
        </is>
      </c>
      <c r="BM39" t="n">
        <v>24.23</v>
      </c>
      <c r="BO39" t="inlineStr">
        <is>
          <t>2025-12-19</t>
        </is>
      </c>
      <c r="BP39" t="n">
        <v>-0.52552</v>
      </c>
      <c r="BR39" t="inlineStr">
        <is>
          <t>2025-12-19</t>
        </is>
      </c>
      <c r="BS39" t="n">
        <v>-0.3401</v>
      </c>
      <c r="BX39" t="inlineStr">
        <is>
          <t>2025-05-08</t>
        </is>
      </c>
      <c r="BY39" t="n">
        <v>0.47</v>
      </c>
    </row>
    <row r="40">
      <c r="BI40" t="inlineStr">
        <is>
          <t>2025-05</t>
        </is>
      </c>
      <c r="BJ40" t="n">
        <v>4.33</v>
      </c>
      <c r="BL40" t="inlineStr">
        <is>
          <t>2026-03-12</t>
        </is>
      </c>
      <c r="BM40" t="n">
        <v>27.29</v>
      </c>
      <c r="BO40" t="inlineStr">
        <is>
          <t>2025-12-26</t>
        </is>
      </c>
      <c r="BP40" t="n">
        <v>-0.53609</v>
      </c>
      <c r="BR40" t="inlineStr">
        <is>
          <t>2025-12-26</t>
        </is>
      </c>
      <c r="BS40" t="n">
        <v>-0.5806</v>
      </c>
      <c r="BX40" t="inlineStr">
        <is>
          <t>2025-05-09</t>
        </is>
      </c>
      <c r="BY40" t="n">
        <v>0.49</v>
      </c>
    </row>
    <row r="41">
      <c r="BI41" t="inlineStr">
        <is>
          <t>2025-06</t>
        </is>
      </c>
      <c r="BJ41" t="n">
        <v>4.33</v>
      </c>
      <c r="BL41" t="inlineStr">
        <is>
          <t>2026-03-13</t>
        </is>
      </c>
      <c r="BM41" t="n">
        <v>27.19</v>
      </c>
      <c r="BO41" t="inlineStr">
        <is>
          <t>2026-01-02</t>
        </is>
      </c>
      <c r="BP41" t="n">
        <v>-0.54614</v>
      </c>
      <c r="BR41" t="inlineStr">
        <is>
          <t>2026-01-02</t>
        </is>
      </c>
      <c r="BS41" t="n">
        <v>-0.5644</v>
      </c>
      <c r="BX41" t="inlineStr">
        <is>
          <t>2025-05-12</t>
        </is>
      </c>
      <c r="BY41" t="n">
        <v>0.47</v>
      </c>
    </row>
    <row r="42">
      <c r="BI42" t="inlineStr">
        <is>
          <t>2025-07</t>
        </is>
      </c>
      <c r="BJ42" t="n">
        <v>4.33</v>
      </c>
      <c r="BL42" t="inlineStr">
        <is>
          <t>2026-03-16</t>
        </is>
      </c>
      <c r="BM42" t="n">
        <v>23.51</v>
      </c>
      <c r="BO42" t="inlineStr">
        <is>
          <t>2026-01-09</t>
        </is>
      </c>
      <c r="BP42" t="n">
        <v>-0.55552</v>
      </c>
      <c r="BR42" t="inlineStr">
        <is>
          <t>2026-01-09</t>
        </is>
      </c>
      <c r="BS42" t="n">
        <v>-0.663</v>
      </c>
      <c r="BX42" t="inlineStr">
        <is>
          <t>2025-05-13</t>
        </is>
      </c>
      <c r="BY42" t="n">
        <v>0.47</v>
      </c>
    </row>
    <row r="43">
      <c r="BI43" t="inlineStr">
        <is>
          <t>2025-08</t>
        </is>
      </c>
      <c r="BJ43" t="n">
        <v>4.33</v>
      </c>
      <c r="BL43" t="inlineStr">
        <is>
          <t>2026-03-17</t>
        </is>
      </c>
      <c r="BM43" t="n">
        <v>22.37</v>
      </c>
      <c r="BO43" t="inlineStr">
        <is>
          <t>2026-01-16</t>
        </is>
      </c>
      <c r="BP43" t="n">
        <v>-0.56093</v>
      </c>
      <c r="BR43" t="inlineStr">
        <is>
          <t>2026-01-16</t>
        </is>
      </c>
      <c r="BS43" t="n">
        <v>-0.6505</v>
      </c>
      <c r="BX43" t="inlineStr">
        <is>
          <t>2025-05-14</t>
        </is>
      </c>
      <c r="BY43" t="n">
        <v>0.48</v>
      </c>
    </row>
    <row r="44">
      <c r="BI44" t="inlineStr">
        <is>
          <t>2025-09</t>
        </is>
      </c>
      <c r="BJ44" t="n">
        <v>4.22</v>
      </c>
      <c r="BL44" t="inlineStr">
        <is>
          <t>2026-03-18</t>
        </is>
      </c>
      <c r="BM44" t="n">
        <v>25.09</v>
      </c>
      <c r="BO44" t="inlineStr">
        <is>
          <t>2026-01-23</t>
        </is>
      </c>
      <c r="BP44" t="n">
        <v>-0.5621699999999999</v>
      </c>
      <c r="BR44" t="inlineStr">
        <is>
          <t>2026-01-23</t>
        </is>
      </c>
      <c r="BS44" t="n">
        <v>-0.712</v>
      </c>
      <c r="BX44" t="inlineStr">
        <is>
          <t>2025-05-15</t>
        </is>
      </c>
      <c r="BY44" t="n">
        <v>0.49</v>
      </c>
    </row>
    <row r="45">
      <c r="BI45" t="inlineStr">
        <is>
          <t>2025-10</t>
        </is>
      </c>
      <c r="BJ45" t="n">
        <v>4.09</v>
      </c>
      <c r="BL45" t="inlineStr">
        <is>
          <t>2026-03-19</t>
        </is>
      </c>
      <c r="BM45" t="n">
        <v>24.06</v>
      </c>
      <c r="BO45" t="inlineStr">
        <is>
          <t>2026-01-30</t>
        </is>
      </c>
      <c r="BP45" t="n">
        <v>-0.55938</v>
      </c>
      <c r="BR45" t="inlineStr">
        <is>
          <t>2026-01-30</t>
        </is>
      </c>
      <c r="BS45" t="n">
        <v>-0.678</v>
      </c>
      <c r="BX45" t="inlineStr">
        <is>
          <t>2025-05-16</t>
        </is>
      </c>
      <c r="BY45" t="n">
        <v>0.45</v>
      </c>
    </row>
    <row r="46">
      <c r="BI46" t="inlineStr">
        <is>
          <t>2025-11</t>
        </is>
      </c>
      <c r="BJ46" t="n">
        <v>3.88</v>
      </c>
      <c r="BL46" t="inlineStr">
        <is>
          <t>2026-03-20</t>
        </is>
      </c>
      <c r="BM46" t="n">
        <v>26.78</v>
      </c>
      <c r="BO46" t="inlineStr">
        <is>
          <t>2026-02-06</t>
        </is>
      </c>
      <c r="BP46" t="n">
        <v>-0.5531700000000001</v>
      </c>
      <c r="BR46" t="inlineStr">
        <is>
          <t>2026-02-06</t>
        </is>
      </c>
      <c r="BS46" t="n">
        <v>-0.6556999999999999</v>
      </c>
      <c r="BX46" t="inlineStr">
        <is>
          <t>2025-05-19</t>
        </is>
      </c>
      <c r="BY46" t="n">
        <v>0.49</v>
      </c>
    </row>
    <row r="47">
      <c r="BI47" t="inlineStr">
        <is>
          <t>2025-12</t>
        </is>
      </c>
      <c r="BJ47" t="n">
        <v>3.72</v>
      </c>
      <c r="BL47" t="inlineStr">
        <is>
          <t>2026-03-23</t>
        </is>
      </c>
      <c r="BM47" t="n">
        <v>26.15</v>
      </c>
      <c r="BO47" t="inlineStr">
        <is>
          <t>2026-02-13</t>
        </is>
      </c>
      <c r="BP47" t="n">
        <v>-0.54313</v>
      </c>
      <c r="BR47" t="inlineStr">
        <is>
          <t>2026-02-13</t>
        </is>
      </c>
      <c r="BS47" t="n">
        <v>-0.62</v>
      </c>
      <c r="BX47" t="inlineStr">
        <is>
          <t>2025-05-20</t>
        </is>
      </c>
      <c r="BY47" t="n">
        <v>0.51</v>
      </c>
    </row>
    <row r="48">
      <c r="BI48" t="inlineStr">
        <is>
          <t>2026-01</t>
        </is>
      </c>
      <c r="BJ48" t="n">
        <v>3.64</v>
      </c>
      <c r="BL48" t="inlineStr">
        <is>
          <t>2026-03-24</t>
        </is>
      </c>
      <c r="BM48" t="n">
        <v>26.95</v>
      </c>
      <c r="BO48" t="inlineStr">
        <is>
          <t>2026-02-20</t>
        </is>
      </c>
      <c r="BP48" t="n">
        <v>-0.52969</v>
      </c>
      <c r="BR48" t="inlineStr">
        <is>
          <t>2026-02-20</t>
        </is>
      </c>
      <c r="BS48" t="n">
        <v>-0.488</v>
      </c>
      <c r="BX48" t="inlineStr">
        <is>
          <t>2025-05-21</t>
        </is>
      </c>
      <c r="BY48" t="n">
        <v>0.58</v>
      </c>
    </row>
    <row r="49">
      <c r="BI49" t="inlineStr">
        <is>
          <t>2026-02</t>
        </is>
      </c>
      <c r="BJ49" t="n">
        <v>3.64</v>
      </c>
      <c r="BL49" t="inlineStr">
        <is>
          <t>2026-03-25</t>
        </is>
      </c>
      <c r="BM49" t="n">
        <v>25.33</v>
      </c>
      <c r="BO49" t="inlineStr">
        <is>
          <t>2026-02-27</t>
        </is>
      </c>
      <c r="BP49" t="n">
        <v>-0.51349</v>
      </c>
      <c r="BR49" t="inlineStr">
        <is>
          <t>2026-02-27</t>
        </is>
      </c>
      <c r="BS49" t="n">
        <v>-0.4432</v>
      </c>
      <c r="BX49" t="inlineStr">
        <is>
          <t>2025-05-22</t>
        </is>
      </c>
      <c r="BY49" t="n">
        <v>0.54</v>
      </c>
    </row>
    <row r="50">
      <c r="BL50" t="inlineStr">
        <is>
          <t>2026-03-26</t>
        </is>
      </c>
      <c r="BM50" t="n">
        <v>27.44</v>
      </c>
      <c r="BO50" t="inlineStr">
        <is>
          <t>2026-03-06</t>
        </is>
      </c>
      <c r="BP50" t="n">
        <v>-0.49443</v>
      </c>
      <c r="BR50" t="inlineStr">
        <is>
          <t>2026-03-06</t>
        </is>
      </c>
      <c r="BS50" t="n">
        <v>-0.4295</v>
      </c>
      <c r="BX50" t="inlineStr">
        <is>
          <t>2025-05-23</t>
        </is>
      </c>
      <c r="BY50" t="n">
        <v>0.51</v>
      </c>
    </row>
    <row r="51">
      <c r="BL51" t="inlineStr">
        <is>
          <t>2026-03-27</t>
        </is>
      </c>
      <c r="BM51" t="n">
        <v>31.05</v>
      </c>
      <c r="BO51" t="inlineStr">
        <is>
          <t>2026-03-13</t>
        </is>
      </c>
      <c r="BP51" t="n">
        <v>-0.47357</v>
      </c>
      <c r="BR51" t="inlineStr">
        <is>
          <t>2026-03-13</t>
        </is>
      </c>
      <c r="BS51" t="n">
        <v>-0.3</v>
      </c>
      <c r="BX51" t="inlineStr">
        <is>
          <t>2025-05-27</t>
        </is>
      </c>
      <c r="BY51" t="n">
        <v>0.51</v>
      </c>
    </row>
    <row r="52">
      <c r="BL52" t="inlineStr">
        <is>
          <t>2026-03-30</t>
        </is>
      </c>
      <c r="BM52" t="n">
        <v>30.61</v>
      </c>
      <c r="BO52" t="inlineStr">
        <is>
          <t>2026-03-20</t>
        </is>
      </c>
      <c r="BP52" t="n">
        <v>-0.45389</v>
      </c>
      <c r="BR52" t="inlineStr">
        <is>
          <t>2026-03-20</t>
        </is>
      </c>
      <c r="BS52" t="n">
        <v>-0.368</v>
      </c>
      <c r="BX52" t="inlineStr">
        <is>
          <t>2025-05-28</t>
        </is>
      </c>
      <c r="BY52" t="n">
        <v>0.51</v>
      </c>
    </row>
    <row r="53">
      <c r="BL53" t="inlineStr">
        <is>
          <t>2026-03-31</t>
        </is>
      </c>
      <c r="BM53" t="n">
        <v>25.25</v>
      </c>
      <c r="BO53" t="inlineStr">
        <is>
          <t>2026-03-27</t>
        </is>
      </c>
      <c r="BP53" t="n">
        <v>-0.43366</v>
      </c>
      <c r="BR53" t="inlineStr">
        <is>
          <t>2026-03-27</t>
        </is>
      </c>
      <c r="BS53" t="n">
        <v>-0.1828</v>
      </c>
      <c r="BX53" t="inlineStr">
        <is>
          <t>2025-05-29</t>
        </is>
      </c>
      <c r="BY53" t="n">
        <v>0.51</v>
      </c>
    </row>
    <row r="54">
      <c r="BX54" t="inlineStr">
        <is>
          <t>2025-05-30</t>
        </is>
      </c>
      <c r="BY54" t="n">
        <v>0.52</v>
      </c>
    </row>
    <row r="55">
      <c r="BX55" t="inlineStr">
        <is>
          <t>2025-06-02</t>
        </is>
      </c>
      <c r="BY55" t="n">
        <v>0.52</v>
      </c>
    </row>
    <row r="56">
      <c r="BX56" t="inlineStr">
        <is>
          <t>2025-06-03</t>
        </is>
      </c>
      <c r="BY56" t="n">
        <v>0.5</v>
      </c>
    </row>
    <row r="57">
      <c r="BX57" t="inlineStr">
        <is>
          <t>2025-06-04</t>
        </is>
      </c>
      <c r="BY57" t="n">
        <v>0.5</v>
      </c>
    </row>
    <row r="58">
      <c r="BX58" t="inlineStr">
        <is>
          <t>2025-06-05</t>
        </is>
      </c>
      <c r="BY58" t="n">
        <v>0.48</v>
      </c>
    </row>
    <row r="59">
      <c r="BX59" t="inlineStr">
        <is>
          <t>2025-06-06</t>
        </is>
      </c>
      <c r="BY59" t="n">
        <v>0.47</v>
      </c>
    </row>
    <row r="60">
      <c r="BX60" t="inlineStr">
        <is>
          <t>2025-06-09</t>
        </is>
      </c>
      <c r="BY60" t="n">
        <v>0.48</v>
      </c>
    </row>
    <row r="61">
      <c r="BX61" t="inlineStr">
        <is>
          <t>2025-06-10</t>
        </is>
      </c>
      <c r="BY61" t="n">
        <v>0.46</v>
      </c>
    </row>
    <row r="62">
      <c r="BX62" t="inlineStr">
        <is>
          <t>2025-06-11</t>
        </is>
      </c>
      <c r="BY62" t="n">
        <v>0.47</v>
      </c>
    </row>
    <row r="63">
      <c r="BX63" t="inlineStr">
        <is>
          <t>2025-06-12</t>
        </is>
      </c>
      <c r="BY63" t="n">
        <v>0.46</v>
      </c>
    </row>
    <row r="64">
      <c r="BX64" t="inlineStr">
        <is>
          <t>2025-06-13</t>
        </is>
      </c>
      <c r="BY64" t="n">
        <v>0.45</v>
      </c>
    </row>
    <row r="65">
      <c r="BX65" t="inlineStr">
        <is>
          <t>2025-06-16</t>
        </is>
      </c>
      <c r="BY65" t="n">
        <v>0.49</v>
      </c>
    </row>
    <row r="66">
      <c r="BX66" t="inlineStr">
        <is>
          <t>2025-06-17</t>
        </is>
      </c>
      <c r="BY66" t="n">
        <v>0.45</v>
      </c>
    </row>
    <row r="67">
      <c r="BX67" t="inlineStr">
        <is>
          <t>2025-06-18</t>
        </is>
      </c>
      <c r="BY67" t="n">
        <v>0.44</v>
      </c>
    </row>
    <row r="68">
      <c r="BX68" t="inlineStr">
        <is>
          <t>2025-06-20</t>
        </is>
      </c>
      <c r="BY68" t="n">
        <v>0.48</v>
      </c>
    </row>
    <row r="69">
      <c r="BX69" t="inlineStr">
        <is>
          <t>2025-06-23</t>
        </is>
      </c>
      <c r="BY69" t="n">
        <v>0.5</v>
      </c>
    </row>
    <row r="70">
      <c r="BX70" t="inlineStr">
        <is>
          <t>2025-06-24</t>
        </is>
      </c>
      <c r="BY70" t="n">
        <v>0.55</v>
      </c>
    </row>
    <row r="71">
      <c r="BX71" t="inlineStr">
        <is>
          <t>2025-06-25</t>
        </is>
      </c>
      <c r="BY71" t="n">
        <v>0.55</v>
      </c>
    </row>
    <row r="72">
      <c r="BX72" t="inlineStr">
        <is>
          <t>2025-06-26</t>
        </is>
      </c>
      <c r="BY72" t="n">
        <v>0.5600000000000001</v>
      </c>
    </row>
    <row r="73">
      <c r="BX73" t="inlineStr">
        <is>
          <t>2025-06-27</t>
        </is>
      </c>
      <c r="BY73" t="n">
        <v>0.5600000000000001</v>
      </c>
    </row>
    <row r="74">
      <c r="BX74" t="inlineStr">
        <is>
          <t>2025-06-30</t>
        </is>
      </c>
      <c r="BY74" t="n">
        <v>0.52</v>
      </c>
    </row>
    <row r="75">
      <c r="BX75" t="inlineStr">
        <is>
          <t>2025-07-01</t>
        </is>
      </c>
      <c r="BY75" t="n">
        <v>0.48</v>
      </c>
    </row>
    <row r="76">
      <c r="BX76" t="inlineStr">
        <is>
          <t>2025-07-02</t>
        </is>
      </c>
      <c r="BY76" t="n">
        <v>0.52</v>
      </c>
    </row>
    <row r="77">
      <c r="BX77" t="inlineStr">
        <is>
          <t>2025-07-03</t>
        </is>
      </c>
      <c r="BY77" t="n">
        <v>0.47</v>
      </c>
    </row>
    <row r="78">
      <c r="BX78" t="inlineStr">
        <is>
          <t>2025-07-07</t>
        </is>
      </c>
      <c r="BY78" t="n">
        <v>0.5</v>
      </c>
    </row>
    <row r="79">
      <c r="BX79" t="inlineStr">
        <is>
          <t>2025-07-08</t>
        </is>
      </c>
      <c r="BY79" t="n">
        <v>0.52</v>
      </c>
    </row>
    <row r="80">
      <c r="BX80" t="inlineStr">
        <is>
          <t>2025-07-09</t>
        </is>
      </c>
      <c r="BY80" t="n">
        <v>0.48</v>
      </c>
    </row>
    <row r="81">
      <c r="BX81" t="inlineStr">
        <is>
          <t>2025-07-10</t>
        </is>
      </c>
      <c r="BY81" t="n">
        <v>0.49</v>
      </c>
    </row>
    <row r="82">
      <c r="BX82" t="inlineStr">
        <is>
          <t>2025-07-11</t>
        </is>
      </c>
      <c r="BY82" t="n">
        <v>0.53</v>
      </c>
    </row>
    <row r="83">
      <c r="BX83" t="inlineStr">
        <is>
          <t>2025-07-14</t>
        </is>
      </c>
      <c r="BY83" t="n">
        <v>0.53</v>
      </c>
    </row>
    <row r="84">
      <c r="BX84" t="inlineStr">
        <is>
          <t>2025-07-15</t>
        </is>
      </c>
      <c r="BY84" t="n">
        <v>0.55</v>
      </c>
    </row>
    <row r="85">
      <c r="BX85" t="inlineStr">
        <is>
          <t>2025-07-16</t>
        </is>
      </c>
      <c r="BY85" t="n">
        <v>0.58</v>
      </c>
    </row>
    <row r="86">
      <c r="BX86" t="inlineStr">
        <is>
          <t>2025-07-17</t>
        </is>
      </c>
      <c r="BY86" t="n">
        <v>0.5600000000000001</v>
      </c>
    </row>
    <row r="87">
      <c r="BX87" t="inlineStr">
        <is>
          <t>2025-07-18</t>
        </is>
      </c>
      <c r="BY87" t="n">
        <v>0.5600000000000001</v>
      </c>
    </row>
    <row r="88">
      <c r="BX88" t="inlineStr">
        <is>
          <t>2025-07-21</t>
        </is>
      </c>
      <c r="BY88" t="n">
        <v>0.53</v>
      </c>
    </row>
    <row r="89">
      <c r="BX89" t="inlineStr">
        <is>
          <t>2025-07-22</t>
        </is>
      </c>
      <c r="BY89" t="n">
        <v>0.52</v>
      </c>
    </row>
    <row r="90">
      <c r="BX90" t="inlineStr">
        <is>
          <t>2025-07-23</t>
        </is>
      </c>
      <c r="BY90" t="n">
        <v>0.52</v>
      </c>
    </row>
    <row r="91">
      <c r="BX91" t="inlineStr">
        <is>
          <t>2025-07-24</t>
        </is>
      </c>
      <c r="BY91" t="n">
        <v>0.52</v>
      </c>
    </row>
    <row r="92">
      <c r="BX92" t="inlineStr">
        <is>
          <t>2025-07-25</t>
        </is>
      </c>
      <c r="BY92" t="n">
        <v>0.49</v>
      </c>
    </row>
    <row r="93">
      <c r="BX93" t="inlineStr">
        <is>
          <t>2025-07-28</t>
        </is>
      </c>
      <c r="BY93" t="n">
        <v>0.51</v>
      </c>
    </row>
    <row r="94">
      <c r="BX94" t="inlineStr">
        <is>
          <t>2025-07-29</t>
        </is>
      </c>
      <c r="BY94" t="n">
        <v>0.48</v>
      </c>
    </row>
    <row r="95">
      <c r="BX95" t="inlineStr">
        <is>
          <t>2025-07-30</t>
        </is>
      </c>
      <c r="BY95" t="n">
        <v>0.44</v>
      </c>
    </row>
    <row r="96">
      <c r="BX96" t="inlineStr">
        <is>
          <t>2025-07-31</t>
        </is>
      </c>
      <c r="BY96" t="n">
        <v>0.43</v>
      </c>
    </row>
    <row r="97">
      <c r="BX97" t="inlineStr">
        <is>
          <t>2025-08-01</t>
        </is>
      </c>
      <c r="BY97" t="n">
        <v>0.54</v>
      </c>
    </row>
    <row r="98">
      <c r="BX98" t="inlineStr">
        <is>
          <t>2025-08-04</t>
        </is>
      </c>
      <c r="BY98" t="n">
        <v>0.53</v>
      </c>
    </row>
    <row r="99">
      <c r="BX99" t="inlineStr">
        <is>
          <t>2025-08-05</t>
        </is>
      </c>
      <c r="BY99" t="n">
        <v>0.5</v>
      </c>
    </row>
    <row r="100">
      <c r="BX100" t="inlineStr">
        <is>
          <t>2025-08-06</t>
        </is>
      </c>
      <c r="BY100" t="n">
        <v>0.53</v>
      </c>
    </row>
    <row r="101">
      <c r="BX101" t="inlineStr">
        <is>
          <t>2025-08-07</t>
        </is>
      </c>
      <c r="BY101" t="n">
        <v>0.51</v>
      </c>
    </row>
    <row r="102">
      <c r="BX102" t="inlineStr">
        <is>
          <t>2025-08-08</t>
        </is>
      </c>
      <c r="BY102" t="n">
        <v>0.51</v>
      </c>
    </row>
    <row r="103">
      <c r="BX103" t="inlineStr">
        <is>
          <t>2025-08-11</t>
        </is>
      </c>
      <c r="BY103" t="n">
        <v>0.51</v>
      </c>
    </row>
    <row r="104">
      <c r="BX104" t="inlineStr">
        <is>
          <t>2025-08-12</t>
        </is>
      </c>
      <c r="BY104" t="n">
        <v>0.57</v>
      </c>
    </row>
    <row r="105">
      <c r="BX105" t="inlineStr">
        <is>
          <t>2025-08-13</t>
        </is>
      </c>
      <c r="BY105" t="n">
        <v>0.57</v>
      </c>
    </row>
    <row r="106">
      <c r="BX106" t="inlineStr">
        <is>
          <t>2025-08-14</t>
        </is>
      </c>
      <c r="BY106" t="n">
        <v>0.55</v>
      </c>
    </row>
    <row r="107">
      <c r="BX107" t="inlineStr">
        <is>
          <t>2025-08-15</t>
        </is>
      </c>
      <c r="BY107" t="n">
        <v>0.58</v>
      </c>
    </row>
    <row r="108">
      <c r="BX108" t="inlineStr">
        <is>
          <t>2025-08-18</t>
        </is>
      </c>
      <c r="BY108" t="n">
        <v>0.57</v>
      </c>
    </row>
    <row r="109">
      <c r="BX109" t="inlineStr">
        <is>
          <t>2025-08-19</t>
        </is>
      </c>
      <c r="BY109" t="n">
        <v>0.55</v>
      </c>
    </row>
    <row r="110">
      <c r="BX110" t="inlineStr">
        <is>
          <t>2025-08-20</t>
        </is>
      </c>
      <c r="BY110" t="n">
        <v>0.55</v>
      </c>
    </row>
    <row r="111">
      <c r="BX111" t="inlineStr">
        <is>
          <t>2025-08-21</t>
        </is>
      </c>
      <c r="BY111" t="n">
        <v>0.54</v>
      </c>
    </row>
    <row r="112">
      <c r="BX112" t="inlineStr">
        <is>
          <t>2025-08-22</t>
        </is>
      </c>
      <c r="BY112" t="n">
        <v>0.58</v>
      </c>
    </row>
    <row r="113">
      <c r="BX113" t="inlineStr">
        <is>
          <t>2025-08-25</t>
        </is>
      </c>
      <c r="BY113" t="n">
        <v>0.55</v>
      </c>
    </row>
    <row r="114">
      <c r="BX114" t="inlineStr">
        <is>
          <t>2025-08-26</t>
        </is>
      </c>
      <c r="BY114" t="n">
        <v>0.65</v>
      </c>
    </row>
    <row r="115">
      <c r="BX115" t="inlineStr">
        <is>
          <t>2025-08-27</t>
        </is>
      </c>
      <c r="BY115" t="n">
        <v>0.65</v>
      </c>
    </row>
    <row r="116">
      <c r="BX116" t="inlineStr">
        <is>
          <t>2025-08-28</t>
        </is>
      </c>
      <c r="BY116" t="n">
        <v>0.6</v>
      </c>
    </row>
    <row r="117">
      <c r="BX117" t="inlineStr">
        <is>
          <t>2025-08-29</t>
        </is>
      </c>
      <c r="BY117" t="n">
        <v>0.64</v>
      </c>
    </row>
    <row r="118">
      <c r="BX118" t="inlineStr">
        <is>
          <t>2025-09-02</t>
        </is>
      </c>
      <c r="BY118" t="n">
        <v>0.62</v>
      </c>
    </row>
    <row r="119">
      <c r="BX119" t="inlineStr">
        <is>
          <t>2025-09-03</t>
        </is>
      </c>
      <c r="BY119" t="n">
        <v>0.61</v>
      </c>
    </row>
    <row r="120">
      <c r="BX120" t="inlineStr">
        <is>
          <t>2025-09-04</t>
        </is>
      </c>
      <c r="BY120" t="n">
        <v>0.58</v>
      </c>
    </row>
    <row r="121">
      <c r="BX121" t="inlineStr">
        <is>
          <t>2025-09-05</t>
        </is>
      </c>
      <c r="BY121" t="n">
        <v>0.59</v>
      </c>
    </row>
    <row r="122">
      <c r="BX122" t="inlineStr">
        <is>
          <t>2025-09-08</t>
        </is>
      </c>
      <c r="BY122" t="n">
        <v>0.5600000000000001</v>
      </c>
    </row>
    <row r="123">
      <c r="BX123" t="inlineStr">
        <is>
          <t>2025-09-09</t>
        </is>
      </c>
      <c r="BY123" t="n">
        <v>0.54</v>
      </c>
    </row>
    <row r="124">
      <c r="BX124" t="inlineStr">
        <is>
          <t>2025-09-10</t>
        </is>
      </c>
      <c r="BY124" t="n">
        <v>0.5</v>
      </c>
    </row>
    <row r="125">
      <c r="BX125" t="inlineStr">
        <is>
          <t>2025-09-11</t>
        </is>
      </c>
      <c r="BY125" t="n">
        <v>0.49</v>
      </c>
    </row>
    <row r="126">
      <c r="BX126" t="inlineStr">
        <is>
          <t>2025-09-12</t>
        </is>
      </c>
      <c r="BY126" t="n">
        <v>0.5</v>
      </c>
    </row>
    <row r="127">
      <c r="BX127" t="inlineStr">
        <is>
          <t>2025-09-15</t>
        </is>
      </c>
      <c r="BY127" t="n">
        <v>0.51</v>
      </c>
    </row>
    <row r="128">
      <c r="BX128" t="inlineStr">
        <is>
          <t>2025-09-16</t>
        </is>
      </c>
      <c r="BY128" t="n">
        <v>0.53</v>
      </c>
    </row>
    <row r="129">
      <c r="BX129" t="inlineStr">
        <is>
          <t>2025-09-17</t>
        </is>
      </c>
      <c r="BY129" t="n">
        <v>0.54</v>
      </c>
    </row>
    <row r="130">
      <c r="BX130" t="inlineStr">
        <is>
          <t>2025-09-18</t>
        </is>
      </c>
      <c r="BY130" t="n">
        <v>0.54</v>
      </c>
    </row>
    <row r="131">
      <c r="BX131" t="inlineStr">
        <is>
          <t>2025-09-19</t>
        </is>
      </c>
      <c r="BY131" t="n">
        <v>0.57</v>
      </c>
    </row>
    <row r="132">
      <c r="BX132" t="inlineStr">
        <is>
          <t>2025-09-22</t>
        </is>
      </c>
      <c r="BY132" t="n">
        <v>0.54</v>
      </c>
    </row>
    <row r="133">
      <c r="BX133" t="inlineStr">
        <is>
          <t>2025-09-23</t>
        </is>
      </c>
      <c r="BY133" t="n">
        <v>0.59</v>
      </c>
    </row>
    <row r="134">
      <c r="BX134" t="inlineStr">
        <is>
          <t>2025-09-24</t>
        </is>
      </c>
      <c r="BY134" t="n">
        <v>0.59</v>
      </c>
    </row>
    <row r="135">
      <c r="BX135" t="inlineStr">
        <is>
          <t>2025-09-25</t>
        </is>
      </c>
      <c r="BY135" t="n">
        <v>0.54</v>
      </c>
    </row>
    <row r="136">
      <c r="BX136" t="inlineStr">
        <is>
          <t>2025-09-26</t>
        </is>
      </c>
      <c r="BY136" t="n">
        <v>0.57</v>
      </c>
    </row>
    <row r="137">
      <c r="BX137" t="inlineStr">
        <is>
          <t>2025-09-29</t>
        </is>
      </c>
      <c r="BY137" t="n">
        <v>0.52</v>
      </c>
    </row>
    <row r="138">
      <c r="BX138" t="inlineStr">
        <is>
          <t>2025-09-30</t>
        </is>
      </c>
      <c r="BY138" t="n">
        <v>0.5600000000000001</v>
      </c>
    </row>
    <row r="139">
      <c r="BX139" t="inlineStr">
        <is>
          <t>2025-10-01</t>
        </is>
      </c>
      <c r="BY139" t="n">
        <v>0.57</v>
      </c>
    </row>
    <row r="140">
      <c r="BX140" t="inlineStr">
        <is>
          <t>2025-10-02</t>
        </is>
      </c>
      <c r="BY140" t="n">
        <v>0.55</v>
      </c>
    </row>
    <row r="141">
      <c r="BX141" t="inlineStr">
        <is>
          <t>2025-10-03</t>
        </is>
      </c>
      <c r="BY141" t="n">
        <v>0.55</v>
      </c>
    </row>
    <row r="142">
      <c r="BX142" t="inlineStr">
        <is>
          <t>2025-10-06</t>
        </is>
      </c>
      <c r="BY142" t="n">
        <v>0.58</v>
      </c>
    </row>
    <row r="143">
      <c r="BX143" t="inlineStr">
        <is>
          <t>2025-10-07</t>
        </is>
      </c>
      <c r="BY143" t="n">
        <v>0.57</v>
      </c>
    </row>
    <row r="144">
      <c r="BX144" t="inlineStr">
        <is>
          <t>2025-10-08</t>
        </is>
      </c>
      <c r="BY144" t="n">
        <v>0.55</v>
      </c>
    </row>
    <row r="145">
      <c r="BX145" t="inlineStr">
        <is>
          <t>2025-10-09</t>
        </is>
      </c>
      <c r="BY145" t="n">
        <v>0.54</v>
      </c>
    </row>
    <row r="146">
      <c r="BX146" t="inlineStr">
        <is>
          <t>2025-10-10</t>
        </is>
      </c>
      <c r="BY146" t="n">
        <v>0.53</v>
      </c>
    </row>
    <row r="147">
      <c r="BX147" t="inlineStr">
        <is>
          <t>2025-10-14</t>
        </is>
      </c>
      <c r="BY147" t="n">
        <v>0.55</v>
      </c>
    </row>
    <row r="148">
      <c r="BX148" t="inlineStr">
        <is>
          <t>2025-10-15</t>
        </is>
      </c>
      <c r="BY148" t="n">
        <v>0.55</v>
      </c>
    </row>
    <row r="149">
      <c r="BX149" t="inlineStr">
        <is>
          <t>2025-10-16</t>
        </is>
      </c>
      <c r="BY149" t="n">
        <v>0.58</v>
      </c>
    </row>
    <row r="150">
      <c r="BX150" t="inlineStr">
        <is>
          <t>2025-10-17</t>
        </is>
      </c>
      <c r="BY150" t="n">
        <v>0.5600000000000001</v>
      </c>
    </row>
    <row r="151">
      <c r="BX151" t="inlineStr">
        <is>
          <t>2025-10-20</t>
        </is>
      </c>
      <c r="BY151" t="n">
        <v>0.54</v>
      </c>
    </row>
    <row r="152">
      <c r="BX152" t="inlineStr">
        <is>
          <t>2025-10-21</t>
        </is>
      </c>
      <c r="BY152" t="n">
        <v>0.53</v>
      </c>
    </row>
    <row r="153">
      <c r="BX153" t="inlineStr">
        <is>
          <t>2025-10-22</t>
        </is>
      </c>
      <c r="BY153" t="n">
        <v>0.52</v>
      </c>
    </row>
    <row r="154">
      <c r="BX154" t="inlineStr">
        <is>
          <t>2025-10-23</t>
        </is>
      </c>
      <c r="BY154" t="n">
        <v>0.53</v>
      </c>
    </row>
    <row r="155">
      <c r="BX155" t="inlineStr">
        <is>
          <t>2025-10-24</t>
        </is>
      </c>
      <c r="BY155" t="n">
        <v>0.54</v>
      </c>
    </row>
    <row r="156">
      <c r="BX156" t="inlineStr">
        <is>
          <t>2025-10-27</t>
        </is>
      </c>
      <c r="BY156" t="n">
        <v>0.53</v>
      </c>
    </row>
    <row r="157">
      <c r="BX157" t="inlineStr">
        <is>
          <t>2025-10-28</t>
        </is>
      </c>
      <c r="BY157" t="n">
        <v>0.52</v>
      </c>
    </row>
    <row r="158">
      <c r="BX158" t="inlineStr">
        <is>
          <t>2025-10-29</t>
        </is>
      </c>
      <c r="BY158" t="n">
        <v>0.49</v>
      </c>
    </row>
    <row r="159">
      <c r="BX159" t="inlineStr">
        <is>
          <t>2025-10-30</t>
        </is>
      </c>
      <c r="BY159" t="n">
        <v>0.5</v>
      </c>
    </row>
    <row r="160">
      <c r="BX160" t="inlineStr">
        <is>
          <t>2025-10-31</t>
        </is>
      </c>
      <c r="BY160" t="n">
        <v>0.51</v>
      </c>
    </row>
    <row r="161">
      <c r="BX161" t="inlineStr">
        <is>
          <t>2025-11-03</t>
        </is>
      </c>
      <c r="BY161" t="n">
        <v>0.53</v>
      </c>
    </row>
    <row r="162">
      <c r="BX162" t="inlineStr">
        <is>
          <t>2025-11-04</t>
        </is>
      </c>
      <c r="BY162" t="n">
        <v>0.52</v>
      </c>
    </row>
    <row r="163">
      <c r="BX163" t="inlineStr">
        <is>
          <t>2025-11-05</t>
        </is>
      </c>
      <c r="BY163" t="n">
        <v>0.54</v>
      </c>
    </row>
    <row r="164">
      <c r="BX164" t="inlineStr">
        <is>
          <t>2025-11-06</t>
        </is>
      </c>
      <c r="BY164" t="n">
        <v>0.54</v>
      </c>
    </row>
    <row r="165">
      <c r="BX165" t="inlineStr">
        <is>
          <t>2025-11-07</t>
        </is>
      </c>
      <c r="BY165" t="n">
        <v>0.5600000000000001</v>
      </c>
    </row>
    <row r="166">
      <c r="BX166" t="inlineStr">
        <is>
          <t>2025-11-10</t>
        </is>
      </c>
      <c r="BY166" t="n">
        <v>0.55</v>
      </c>
    </row>
    <row r="167">
      <c r="BX167" t="inlineStr">
        <is>
          <t>2025-11-12</t>
        </is>
      </c>
      <c r="BY167" t="n">
        <v>0.52</v>
      </c>
    </row>
    <row r="168">
      <c r="BX168" t="inlineStr">
        <is>
          <t>2025-11-13</t>
        </is>
      </c>
      <c r="BY168" t="n">
        <v>0.53</v>
      </c>
    </row>
    <row r="169">
      <c r="BX169" t="inlineStr">
        <is>
          <t>2025-11-14</t>
        </is>
      </c>
      <c r="BY169" t="n">
        <v>0.52</v>
      </c>
    </row>
    <row r="170">
      <c r="BX170" t="inlineStr">
        <is>
          <t>2025-11-17</t>
        </is>
      </c>
      <c r="BY170" t="n">
        <v>0.53</v>
      </c>
    </row>
    <row r="171">
      <c r="BX171" t="inlineStr">
        <is>
          <t>2025-11-18</t>
        </is>
      </c>
      <c r="BY171" t="n">
        <v>0.54</v>
      </c>
    </row>
    <row r="172">
      <c r="BX172" t="inlineStr">
        <is>
          <t>2025-11-19</t>
        </is>
      </c>
      <c r="BY172" t="n">
        <v>0.55</v>
      </c>
    </row>
    <row r="173">
      <c r="BX173" t="inlineStr">
        <is>
          <t>2025-11-20</t>
        </is>
      </c>
      <c r="BY173" t="n">
        <v>0.55</v>
      </c>
    </row>
    <row r="174">
      <c r="BX174" t="inlineStr">
        <is>
          <t>2025-11-21</t>
        </is>
      </c>
      <c r="BY174" t="n">
        <v>0.55</v>
      </c>
    </row>
    <row r="175">
      <c r="BX175" t="inlineStr">
        <is>
          <t>2025-11-24</t>
        </is>
      </c>
      <c r="BY175" t="n">
        <v>0.58</v>
      </c>
    </row>
    <row r="176">
      <c r="BX176" t="inlineStr">
        <is>
          <t>2025-11-25</t>
        </is>
      </c>
      <c r="BY176" t="n">
        <v>0.58</v>
      </c>
    </row>
    <row r="177">
      <c r="BX177" t="inlineStr">
        <is>
          <t>2025-11-26</t>
        </is>
      </c>
      <c r="BY177" t="n">
        <v>0.55</v>
      </c>
    </row>
    <row r="178">
      <c r="BX178" t="inlineStr">
        <is>
          <t>2025-11-28</t>
        </is>
      </c>
      <c r="BY178" t="n">
        <v>0.55</v>
      </c>
    </row>
    <row r="179">
      <c r="BX179" t="inlineStr">
        <is>
          <t>2025-12-01</t>
        </is>
      </c>
      <c r="BY179" t="n">
        <v>0.55</v>
      </c>
    </row>
    <row r="180">
      <c r="BX180" t="inlineStr">
        <is>
          <t>2025-12-02</t>
        </is>
      </c>
      <c r="BY180" t="n">
        <v>0.58</v>
      </c>
    </row>
    <row r="181">
      <c r="BX181" t="inlineStr">
        <is>
          <t>2025-12-03</t>
        </is>
      </c>
      <c r="BY181" t="n">
        <v>0.57</v>
      </c>
    </row>
    <row r="182">
      <c r="BX182" t="inlineStr">
        <is>
          <t>2025-12-04</t>
        </is>
      </c>
      <c r="BY182" t="n">
        <v>0.59</v>
      </c>
    </row>
    <row r="183">
      <c r="BX183" t="inlineStr">
        <is>
          <t>2025-12-05</t>
        </is>
      </c>
      <c r="BY183" t="n">
        <v>0.58</v>
      </c>
    </row>
    <row r="184">
      <c r="BX184" t="inlineStr">
        <is>
          <t>2025-12-08</t>
        </is>
      </c>
      <c r="BY184" t="n">
        <v>0.6</v>
      </c>
    </row>
    <row r="185">
      <c r="BX185" t="inlineStr">
        <is>
          <t>2025-12-09</t>
        </is>
      </c>
      <c r="BY185" t="n">
        <v>0.57</v>
      </c>
    </row>
    <row r="186">
      <c r="BX186" t="inlineStr">
        <is>
          <t>2025-12-10</t>
        </is>
      </c>
      <c r="BY186" t="n">
        <v>0.59</v>
      </c>
    </row>
    <row r="187">
      <c r="BX187" t="inlineStr">
        <is>
          <t>2025-12-11</t>
        </is>
      </c>
      <c r="BY187" t="n">
        <v>0.62</v>
      </c>
    </row>
    <row r="188">
      <c r="BX188" t="inlineStr">
        <is>
          <t>2025-12-12</t>
        </is>
      </c>
      <c r="BY188" t="n">
        <v>0.67</v>
      </c>
    </row>
    <row r="189">
      <c r="BX189" t="inlineStr">
        <is>
          <t>2025-12-15</t>
        </is>
      </c>
      <c r="BY189" t="n">
        <v>0.67</v>
      </c>
    </row>
    <row r="190">
      <c r="BX190" t="inlineStr">
        <is>
          <t>2025-12-16</t>
        </is>
      </c>
      <c r="BY190" t="n">
        <v>0.67</v>
      </c>
    </row>
    <row r="191">
      <c r="BX191" t="inlineStr">
        <is>
          <t>2025-12-17</t>
        </is>
      </c>
      <c r="BY191" t="n">
        <v>0.67</v>
      </c>
    </row>
    <row r="192">
      <c r="BX192" t="inlineStr">
        <is>
          <t>2025-12-18</t>
        </is>
      </c>
      <c r="BY192" t="n">
        <v>0.66</v>
      </c>
    </row>
    <row r="193">
      <c r="BX193" t="inlineStr">
        <is>
          <t>2025-12-19</t>
        </is>
      </c>
      <c r="BY193" t="n">
        <v>0.68</v>
      </c>
    </row>
    <row r="194">
      <c r="BX194" t="inlineStr">
        <is>
          <t>2025-12-22</t>
        </is>
      </c>
      <c r="BY194" t="n">
        <v>0.73</v>
      </c>
    </row>
    <row r="195">
      <c r="BX195" t="inlineStr">
        <is>
          <t>2025-12-23</t>
        </is>
      </c>
      <c r="BY195" t="n">
        <v>0.7</v>
      </c>
    </row>
    <row r="196">
      <c r="BX196" t="inlineStr">
        <is>
          <t>2025-12-24</t>
        </is>
      </c>
      <c r="BY196" t="n">
        <v>0.68</v>
      </c>
    </row>
    <row r="197">
      <c r="BX197" t="inlineStr">
        <is>
          <t>2025-12-26</t>
        </is>
      </c>
      <c r="BY197" t="n">
        <v>0.68</v>
      </c>
    </row>
    <row r="198">
      <c r="BX198" t="inlineStr">
        <is>
          <t>2025-12-29</t>
        </is>
      </c>
      <c r="BY198" t="n">
        <v>0.67</v>
      </c>
    </row>
    <row r="199">
      <c r="BX199" t="inlineStr">
        <is>
          <t>2025-12-30</t>
        </is>
      </c>
      <c r="BY199" t="n">
        <v>0.6899999999999999</v>
      </c>
    </row>
    <row r="200">
      <c r="BX200" t="inlineStr">
        <is>
          <t>2025-12-31</t>
        </is>
      </c>
      <c r="BY200" t="n">
        <v>0.71</v>
      </c>
    </row>
    <row r="201">
      <c r="BX201" t="inlineStr">
        <is>
          <t>2026-01-02</t>
        </is>
      </c>
      <c r="BY201" t="n">
        <v>0.72</v>
      </c>
    </row>
    <row r="202">
      <c r="BX202" t="inlineStr">
        <is>
          <t>2026-01-05</t>
        </is>
      </c>
      <c r="BY202" t="n">
        <v>0.71</v>
      </c>
    </row>
    <row r="203">
      <c r="BX203" t="inlineStr">
        <is>
          <t>2026-01-06</t>
        </is>
      </c>
      <c r="BY203" t="n">
        <v>0.71</v>
      </c>
    </row>
    <row r="204">
      <c r="BX204" t="inlineStr">
        <is>
          <t>2026-01-07</t>
        </is>
      </c>
      <c r="BY204" t="n">
        <v>0.68</v>
      </c>
    </row>
    <row r="205">
      <c r="BX205" t="inlineStr">
        <is>
          <t>2026-01-08</t>
        </is>
      </c>
      <c r="BY205" t="n">
        <v>0.7</v>
      </c>
    </row>
    <row r="206">
      <c r="BX206" t="inlineStr">
        <is>
          <t>2026-01-09</t>
        </is>
      </c>
      <c r="BY206" t="n">
        <v>0.64</v>
      </c>
    </row>
    <row r="207">
      <c r="BX207" t="inlineStr">
        <is>
          <t>2026-01-12</t>
        </is>
      </c>
      <c r="BY207" t="n">
        <v>0.65</v>
      </c>
    </row>
    <row r="208">
      <c r="BX208" t="inlineStr">
        <is>
          <t>2026-01-13</t>
        </is>
      </c>
      <c r="BY208" t="n">
        <v>0.65</v>
      </c>
    </row>
    <row r="209">
      <c r="BX209" t="inlineStr">
        <is>
          <t>2026-01-14</t>
        </is>
      </c>
      <c r="BY209" t="n">
        <v>0.64</v>
      </c>
    </row>
    <row r="210">
      <c r="BX210" t="inlineStr">
        <is>
          <t>2026-01-15</t>
        </is>
      </c>
      <c r="BY210" t="n">
        <v>0.61</v>
      </c>
    </row>
    <row r="211">
      <c r="BX211" t="inlineStr">
        <is>
          <t>2026-01-16</t>
        </is>
      </c>
      <c r="BY211" t="n">
        <v>0.65</v>
      </c>
    </row>
    <row r="212">
      <c r="BX212" t="inlineStr">
        <is>
          <t>2026-01-20</t>
        </is>
      </c>
      <c r="BY212" t="n">
        <v>0.7</v>
      </c>
    </row>
    <row r="213">
      <c r="BX213" t="inlineStr">
        <is>
          <t>2026-01-21</t>
        </is>
      </c>
      <c r="BY213" t="n">
        <v>0.66</v>
      </c>
    </row>
    <row r="214">
      <c r="BX214" t="inlineStr">
        <is>
          <t>2026-01-22</t>
        </is>
      </c>
      <c r="BY214" t="n">
        <v>0.65</v>
      </c>
    </row>
    <row r="215">
      <c r="BX215" t="inlineStr">
        <is>
          <t>2026-01-23</t>
        </is>
      </c>
      <c r="BY215" t="n">
        <v>0.64</v>
      </c>
    </row>
    <row r="216">
      <c r="BX216" t="inlineStr">
        <is>
          <t>2026-01-26</t>
        </is>
      </c>
      <c r="BY216" t="n">
        <v>0.66</v>
      </c>
    </row>
    <row r="217">
      <c r="BX217" t="inlineStr">
        <is>
          <t>2026-01-27</t>
        </is>
      </c>
      <c r="BY217" t="n">
        <v>0.71</v>
      </c>
    </row>
    <row r="218">
      <c r="BX218" t="inlineStr">
        <is>
          <t>2026-01-28</t>
        </is>
      </c>
      <c r="BY218" t="n">
        <v>0.7</v>
      </c>
    </row>
    <row r="219">
      <c r="BX219" t="inlineStr">
        <is>
          <t>2026-01-29</t>
        </is>
      </c>
      <c r="BY219" t="n">
        <v>0.71</v>
      </c>
    </row>
    <row r="220">
      <c r="BX220" t="inlineStr">
        <is>
          <t>2026-01-30</t>
        </is>
      </c>
      <c r="BY220" t="n">
        <v>0.74</v>
      </c>
    </row>
    <row r="221">
      <c r="BX221" t="inlineStr">
        <is>
          <t>2026-02-02</t>
        </is>
      </c>
      <c r="BY221" t="n">
        <v>0.72</v>
      </c>
    </row>
    <row r="222">
      <c r="BX222" t="inlineStr">
        <is>
          <t>2026-02-03</t>
        </is>
      </c>
      <c r="BY222" t="n">
        <v>0.71</v>
      </c>
    </row>
    <row r="223">
      <c r="BX223" t="inlineStr">
        <is>
          <t>2026-02-04</t>
        </is>
      </c>
      <c r="BY223" t="n">
        <v>0.72</v>
      </c>
    </row>
    <row r="224">
      <c r="BX224" t="inlineStr">
        <is>
          <t>2026-02-05</t>
        </is>
      </c>
      <c r="BY224" t="n">
        <v>0.74</v>
      </c>
    </row>
    <row r="225">
      <c r="BX225" t="inlineStr">
        <is>
          <t>2026-02-06</t>
        </is>
      </c>
      <c r="BY225" t="n">
        <v>0.72</v>
      </c>
    </row>
    <row r="226">
      <c r="BX226" t="inlineStr">
        <is>
          <t>2026-02-09</t>
        </is>
      </c>
      <c r="BY226" t="n">
        <v>0.74</v>
      </c>
    </row>
    <row r="227">
      <c r="BX227" t="inlineStr">
        <is>
          <t>2026-02-10</t>
        </is>
      </c>
      <c r="BY227" t="n">
        <v>0.71</v>
      </c>
    </row>
    <row r="228">
      <c r="BX228" t="inlineStr">
        <is>
          <t>2026-02-11</t>
        </is>
      </c>
      <c r="BY228" t="n">
        <v>0.66</v>
      </c>
    </row>
    <row r="229">
      <c r="BX229" t="inlineStr">
        <is>
          <t>2026-02-12</t>
        </is>
      </c>
      <c r="BY229" t="n">
        <v>0.62</v>
      </c>
    </row>
    <row r="230">
      <c r="BX230" t="inlineStr">
        <is>
          <t>2026-02-13</t>
        </is>
      </c>
      <c r="BY230" t="n">
        <v>0.64</v>
      </c>
    </row>
    <row r="231">
      <c r="BX231" t="inlineStr">
        <is>
          <t>2026-02-17</t>
        </is>
      </c>
      <c r="BY231" t="n">
        <v>0.62</v>
      </c>
    </row>
    <row r="232">
      <c r="BX232" t="inlineStr">
        <is>
          <t>2026-02-18</t>
        </is>
      </c>
      <c r="BY232" t="n">
        <v>0.62</v>
      </c>
    </row>
    <row r="233">
      <c r="BX233" t="inlineStr">
        <is>
          <t>2026-02-19</t>
        </is>
      </c>
      <c r="BY233" t="n">
        <v>0.61</v>
      </c>
    </row>
    <row r="234">
      <c r="BX234" t="inlineStr">
        <is>
          <t>2026-02-20</t>
        </is>
      </c>
      <c r="BY234" t="n">
        <v>0.6</v>
      </c>
    </row>
    <row r="235">
      <c r="BX235" t="inlineStr">
        <is>
          <t>2026-02-23</t>
        </is>
      </c>
      <c r="BY235" t="n">
        <v>0.6</v>
      </c>
    </row>
    <row r="236">
      <c r="BX236" t="inlineStr">
        <is>
          <t>2026-02-24</t>
        </is>
      </c>
      <c r="BY236" t="n">
        <v>0.61</v>
      </c>
    </row>
    <row r="237">
      <c r="BX237" t="inlineStr">
        <is>
          <t>2026-02-25</t>
        </is>
      </c>
      <c r="BY237" t="n">
        <v>0.6</v>
      </c>
    </row>
    <row r="238">
      <c r="BX238" t="inlineStr">
        <is>
          <t>2026-02-26</t>
        </is>
      </c>
      <c r="BY238" t="n">
        <v>0.6</v>
      </c>
    </row>
    <row r="239">
      <c r="BX239" t="inlineStr">
        <is>
          <t>2026-02-27</t>
        </is>
      </c>
      <c r="BY239" t="n">
        <v>0.59</v>
      </c>
    </row>
    <row r="240">
      <c r="BX240" t="inlineStr">
        <is>
          <t>2026-03-02</t>
        </is>
      </c>
      <c r="BY240" t="n">
        <v>0.58</v>
      </c>
    </row>
    <row r="241">
      <c r="BX241" t="inlineStr">
        <is>
          <t>2026-03-03</t>
        </is>
      </c>
      <c r="BY241" t="n">
        <v>0.55</v>
      </c>
    </row>
    <row r="242">
      <c r="BX242" t="inlineStr">
        <is>
          <t>2026-03-04</t>
        </is>
      </c>
      <c r="BY242" t="n">
        <v>0.55</v>
      </c>
    </row>
    <row r="243">
      <c r="BX243" t="inlineStr">
        <is>
          <t>2026-03-05</t>
        </is>
      </c>
      <c r="BY243" t="n">
        <v>0.5600000000000001</v>
      </c>
    </row>
    <row r="244">
      <c r="BX244" t="inlineStr">
        <is>
          <t>2026-03-06</t>
        </is>
      </c>
      <c r="BY244" t="n">
        <v>0.59</v>
      </c>
    </row>
    <row r="245">
      <c r="BX245" t="inlineStr">
        <is>
          <t>2026-03-09</t>
        </is>
      </c>
      <c r="BY245" t="n">
        <v>0.5600000000000001</v>
      </c>
    </row>
    <row r="246">
      <c r="BX246" t="inlineStr">
        <is>
          <t>2026-03-10</t>
        </is>
      </c>
      <c r="BY246" t="n">
        <v>0.58</v>
      </c>
    </row>
    <row r="247">
      <c r="BX247" t="inlineStr">
        <is>
          <t>2026-03-11</t>
        </is>
      </c>
      <c r="BY247" t="n">
        <v>0.57</v>
      </c>
    </row>
    <row r="248">
      <c r="BX248" t="inlineStr">
        <is>
          <t>2026-03-12</t>
        </is>
      </c>
      <c r="BY248" t="n">
        <v>0.51</v>
      </c>
    </row>
    <row r="249">
      <c r="BX249" t="inlineStr">
        <is>
          <t>2026-03-13</t>
        </is>
      </c>
      <c r="BY249" t="n">
        <v>0.55</v>
      </c>
    </row>
    <row r="250">
      <c r="BX250" t="inlineStr">
        <is>
          <t>2026-03-16</t>
        </is>
      </c>
      <c r="BY250" t="n">
        <v>0.55</v>
      </c>
    </row>
    <row r="251">
      <c r="BX251" t="inlineStr">
        <is>
          <t>2026-03-17</t>
        </is>
      </c>
      <c r="BY251" t="n">
        <v>0.52</v>
      </c>
    </row>
    <row r="252">
      <c r="BX252" t="inlineStr">
        <is>
          <t>2026-03-18</t>
        </is>
      </c>
      <c r="BY252" t="n">
        <v>0.5</v>
      </c>
    </row>
    <row r="253">
      <c r="BX253" t="inlineStr">
        <is>
          <t>2026-03-19</t>
        </is>
      </c>
      <c r="BY253" t="n">
        <v>0.46</v>
      </c>
    </row>
    <row r="254">
      <c r="BX254" t="inlineStr">
        <is>
          <t>2026-03-20</t>
        </is>
      </c>
      <c r="BY254" t="n">
        <v>0.51</v>
      </c>
    </row>
    <row r="255">
      <c r="BX255" t="inlineStr">
        <is>
          <t>2026-03-23</t>
        </is>
      </c>
      <c r="BY255" t="n">
        <v>0.51</v>
      </c>
    </row>
    <row r="256">
      <c r="BX256" t="inlineStr">
        <is>
          <t>2026-03-24</t>
        </is>
      </c>
      <c r="BY256" t="n">
        <v>0.49</v>
      </c>
    </row>
    <row r="257">
      <c r="BX257" t="inlineStr">
        <is>
          <t>2026-03-25</t>
        </is>
      </c>
      <c r="BY257" t="n">
        <v>0.49</v>
      </c>
    </row>
    <row r="258">
      <c r="BX258" t="inlineStr">
        <is>
          <t>2026-03-26</t>
        </is>
      </c>
      <c r="BY258" t="n">
        <v>0.46</v>
      </c>
    </row>
    <row r="259">
      <c r="BX259" t="inlineStr">
        <is>
          <t>2026-03-27</t>
        </is>
      </c>
      <c r="BY259" t="n">
        <v>0.5600000000000001</v>
      </c>
    </row>
    <row r="260">
      <c r="BX260" t="inlineStr">
        <is>
          <t>2026-03-30</t>
        </is>
      </c>
      <c r="BY260" t="n">
        <v>0.53</v>
      </c>
    </row>
    <row r="261">
      <c r="BX261" t="inlineStr">
        <is>
          <t>2026-03-31</t>
        </is>
      </c>
      <c r="BY261" t="n">
        <v>0.51</v>
      </c>
    </row>
  </sheetData>
  <pageMargins left="0.75" right="0.75" top="1" bottom="1" header="0.5" footer="0.5"/>
</worksheet>
</file>

<file path=xl/worksheets/sheet3.xml><?xml version="1.0" encoding="utf-8"?>
<worksheet xmlns="http://schemas.openxmlformats.org/spreadsheetml/2006/main">
  <sheetPr>
    <tabColor rgb="007A1DB8"/>
    <outlinePr summaryBelow="1" summaryRight="1"/>
    <pageSetUpPr/>
  </sheetPr>
  <dimension ref="A1:F62"/>
  <sheetViews>
    <sheetView showGridLines="0" workbookViewId="0">
      <pane ySplit="3" topLeftCell="A4" activePane="bottomLeft" state="frozen"/>
      <selection pane="bottomLeft" activeCell="A1" sqref="A1"/>
    </sheetView>
  </sheetViews>
  <sheetFormatPr baseColWidth="8" defaultRowHeight="15"/>
  <cols>
    <col width="2" customWidth="1" min="1" max="1"/>
    <col width="26" customWidth="1" min="2" max="2"/>
    <col width="16" customWidth="1" min="3" max="3"/>
    <col width="24" customWidth="1" min="4" max="4"/>
    <col width="22" customWidth="1" min="5" max="5"/>
    <col width="58" customWidth="1" min="6" max="6"/>
  </cols>
  <sheetData>
    <row r="1" ht="44" customHeight="1">
      <c r="A1" s="79" t="inlineStr">
        <is>
          <t xml:space="preserve">  JOB MARKET   —   US ECONOMIC INDICATORS</t>
        </is>
      </c>
      <c r="B1" s="2" t="n"/>
      <c r="C1" s="2" t="n"/>
      <c r="D1" s="2" t="n"/>
      <c r="E1" s="2" t="n"/>
      <c r="F1" s="3" t="n"/>
    </row>
    <row r="2" ht="18" customHeight="1">
      <c r="A2" s="4" t="inlineStr">
        <is>
          <t xml:space="preserve">  Refreshed 01 April 2026, 17:56     |     Source: FRED API  |  ISM &amp; Chicago PMI: Auto-extracted from PDF Reports</t>
        </is>
      </c>
      <c r="B2" s="2" t="n"/>
      <c r="C2" s="2" t="n"/>
      <c r="D2" s="2" t="n"/>
      <c r="E2" s="2" t="n"/>
      <c r="F2" s="3" t="n"/>
    </row>
    <row r="3" ht="10" customHeight="1"/>
    <row r="4" ht="32" customHeight="1">
      <c r="A4" s="80" t="inlineStr">
        <is>
          <t xml:space="preserve">  UNEMPLOYMENT RATE</t>
        </is>
      </c>
      <c r="B4" s="2" t="n"/>
      <c r="C4" s="2" t="n"/>
      <c r="D4" s="2" t="n"/>
      <c r="E4" s="2" t="n"/>
      <c r="F4" s="3" t="n"/>
    </row>
    <row r="5" ht="30" customHeight="1">
      <c r="B5" s="81" t="n">
        <v>4.4</v>
      </c>
      <c r="C5" s="57" t="n"/>
      <c r="D5" s="82" t="inlineStr">
        <is>
          <t>NEUTRAL</t>
        </is>
      </c>
      <c r="E5" s="83" t="inlineStr">
        <is>
          <t>Economic Impact</t>
        </is>
      </c>
      <c r="F5" s="32" t="inlineStr">
        <is>
          <t>Moderate unemployment — labour market within historical norms (4–6.5%)</t>
        </is>
      </c>
    </row>
    <row r="6" ht="30" customHeight="1">
      <c r="B6" s="84" t="n"/>
      <c r="C6" s="74" t="n"/>
      <c r="D6" s="85" t="n"/>
      <c r="E6" s="83" t="inlineStr">
        <is>
          <t>Likely Policy Response</t>
        </is>
      </c>
      <c r="F6" s="23" t="inlineStr">
        <is>
          <t>Neutral  —  Hold rates</t>
        </is>
      </c>
    </row>
    <row r="7" ht="22" customHeight="1">
      <c r="B7" s="86" t="inlineStr">
        <is>
          <t xml:space="preserve">  Thresholds  |  &gt;6.5% Weak  |  4–6.5% Moderate  |  &lt;4% Strong</t>
        </is>
      </c>
      <c r="C7" s="2" t="n"/>
      <c r="D7" s="2" t="n"/>
      <c r="E7" s="2" t="n"/>
      <c r="F7" s="3" t="n"/>
    </row>
    <row r="8" ht="22" customHeight="1">
      <c r="B8" s="87" t="inlineStr">
        <is>
          <t>Date</t>
        </is>
      </c>
      <c r="C8" s="87" t="inlineStr">
        <is>
          <t>Value</t>
        </is>
      </c>
      <c r="D8" s="87" t="inlineStr">
        <is>
          <t>Signal</t>
        </is>
      </c>
      <c r="E8" s="87" t="inlineStr">
        <is>
          <t>Pressure</t>
        </is>
      </c>
      <c r="F8" s="88" t="inlineStr">
        <is>
          <t>Assessment</t>
        </is>
      </c>
    </row>
    <row r="9" ht="20" customHeight="1">
      <c r="B9" s="89" t="inlineStr">
        <is>
          <t>2026-02-01</t>
        </is>
      </c>
      <c r="C9" s="90" t="n">
        <v>4.4</v>
      </c>
      <c r="D9" s="91" t="inlineStr">
        <is>
          <t>◆  STABLE</t>
        </is>
      </c>
      <c r="E9" s="91" t="inlineStr">
        <is>
          <t>NEUTRAL</t>
        </is>
      </c>
      <c r="F9" s="92" t="inlineStr">
        <is>
          <t>Moderate unemployment — labour market within historical norms (4–6.5%)</t>
        </is>
      </c>
    </row>
    <row r="10" ht="20" customHeight="1">
      <c r="B10" s="93" t="inlineStr">
        <is>
          <t>2026-01-01</t>
        </is>
      </c>
      <c r="C10" s="94" t="n">
        <v>4.3</v>
      </c>
      <c r="D10" s="95" t="inlineStr">
        <is>
          <t>◆  STABLE</t>
        </is>
      </c>
      <c r="E10" s="95" t="inlineStr">
        <is>
          <t>NEUTRAL</t>
        </is>
      </c>
      <c r="F10" s="96" t="inlineStr">
        <is>
          <t>Moderate unemployment — labour market within historical norms (4–6.5%)</t>
        </is>
      </c>
    </row>
    <row r="11" ht="20" customHeight="1">
      <c r="B11" s="97" t="inlineStr">
        <is>
          <t>2025-12-01</t>
        </is>
      </c>
      <c r="C11" s="98" t="n">
        <v>4.4</v>
      </c>
      <c r="D11" s="95" t="inlineStr">
        <is>
          <t>◆  STABLE</t>
        </is>
      </c>
      <c r="E11" s="95" t="inlineStr">
        <is>
          <t>NEUTRAL</t>
        </is>
      </c>
      <c r="F11" s="99" t="inlineStr">
        <is>
          <t>Moderate unemployment — labour market within historical norms (4–6.5%)</t>
        </is>
      </c>
    </row>
    <row r="12" ht="20" customHeight="1">
      <c r="B12" s="93" t="inlineStr">
        <is>
          <t>2025-11-01</t>
        </is>
      </c>
      <c r="C12" s="94" t="n">
        <v>4.5</v>
      </c>
      <c r="D12" s="95" t="inlineStr">
        <is>
          <t>◆  STABLE</t>
        </is>
      </c>
      <c r="E12" s="95" t="inlineStr">
        <is>
          <t>NEUTRAL</t>
        </is>
      </c>
      <c r="F12" s="96" t="inlineStr">
        <is>
          <t>Moderate unemployment — labour market within historical norms (4–6.5%)</t>
        </is>
      </c>
    </row>
    <row r="13" ht="20" customHeight="1">
      <c r="B13" s="97" t="inlineStr">
        <is>
          <t>2025-09-01</t>
        </is>
      </c>
      <c r="C13" s="98" t="n">
        <v>4.4</v>
      </c>
      <c r="D13" s="95" t="inlineStr">
        <is>
          <t>◆  STABLE</t>
        </is>
      </c>
      <c r="E13" s="95" t="inlineStr">
        <is>
          <t>NEUTRAL</t>
        </is>
      </c>
      <c r="F13" s="99" t="inlineStr">
        <is>
          <t>Moderate unemployment — labour market within historical norms (4–6.5%)</t>
        </is>
      </c>
    </row>
    <row r="14" ht="20" customHeight="1">
      <c r="B14" s="93" t="inlineStr">
        <is>
          <t>2025-08-01</t>
        </is>
      </c>
      <c r="C14" s="94" t="n">
        <v>4.3</v>
      </c>
      <c r="D14" s="95" t="inlineStr">
        <is>
          <t>◆  STABLE</t>
        </is>
      </c>
      <c r="E14" s="95" t="inlineStr">
        <is>
          <t>NEUTRAL</t>
        </is>
      </c>
      <c r="F14" s="96" t="inlineStr">
        <is>
          <t>Moderate unemployment — labour market within historical norms (4–6.5%)</t>
        </is>
      </c>
    </row>
    <row r="15" ht="20" customHeight="1">
      <c r="B15" s="97" t="inlineStr">
        <is>
          <t>2025-07-01</t>
        </is>
      </c>
      <c r="C15" s="98" t="n">
        <v>4.3</v>
      </c>
      <c r="D15" s="95" t="inlineStr">
        <is>
          <t>◆  STABLE</t>
        </is>
      </c>
      <c r="E15" s="95" t="inlineStr">
        <is>
          <t>NEUTRAL</t>
        </is>
      </c>
      <c r="F15" s="99" t="inlineStr">
        <is>
          <t>Moderate unemployment — labour market within historical norms (4–6.5%)</t>
        </is>
      </c>
    </row>
    <row r="16" ht="20" customHeight="1">
      <c r="B16" s="93" t="inlineStr">
        <is>
          <t>2025-06-01</t>
        </is>
      </c>
      <c r="C16" s="94" t="n">
        <v>4.1</v>
      </c>
      <c r="D16" s="95" t="inlineStr">
        <is>
          <t>◆  STABLE</t>
        </is>
      </c>
      <c r="E16" s="95" t="inlineStr">
        <is>
          <t>NEUTRAL</t>
        </is>
      </c>
      <c r="F16" s="96" t="inlineStr">
        <is>
          <t>Moderate unemployment — labour market within historical norms (4–6.5%)</t>
        </is>
      </c>
    </row>
    <row r="17" ht="20" customHeight="1">
      <c r="B17" s="97" t="inlineStr">
        <is>
          <t>2025-05-01</t>
        </is>
      </c>
      <c r="C17" s="98" t="n">
        <v>4.3</v>
      </c>
      <c r="D17" s="95" t="inlineStr">
        <is>
          <t>◆  STABLE</t>
        </is>
      </c>
      <c r="E17" s="95" t="inlineStr">
        <is>
          <t>NEUTRAL</t>
        </is>
      </c>
      <c r="F17" s="99" t="inlineStr">
        <is>
          <t>Moderate unemployment — labour market within historical norms (4–6.5%)</t>
        </is>
      </c>
    </row>
    <row r="18" ht="20" customHeight="1">
      <c r="B18" s="93" t="inlineStr">
        <is>
          <t>2025-04-01</t>
        </is>
      </c>
      <c r="C18" s="94" t="n">
        <v>4.2</v>
      </c>
      <c r="D18" s="95" t="inlineStr">
        <is>
          <t>◆  STABLE</t>
        </is>
      </c>
      <c r="E18" s="95" t="inlineStr">
        <is>
          <t>NEUTRAL</t>
        </is>
      </c>
      <c r="F18" s="96" t="inlineStr">
        <is>
          <t>Moderate unemployment — labour market within historical norms (4–6.5%)</t>
        </is>
      </c>
    </row>
    <row r="19" ht="20" customHeight="1">
      <c r="B19" s="97" t="inlineStr">
        <is>
          <t>2025-03-01</t>
        </is>
      </c>
      <c r="C19" s="98" t="n">
        <v>4.2</v>
      </c>
      <c r="D19" s="95" t="inlineStr">
        <is>
          <t>◆  STABLE</t>
        </is>
      </c>
      <c r="E19" s="95" t="inlineStr">
        <is>
          <t>NEUTRAL</t>
        </is>
      </c>
      <c r="F19" s="99" t="inlineStr">
        <is>
          <t>Moderate unemployment — labour market within historical norms (4–6.5%)</t>
        </is>
      </c>
    </row>
    <row r="20" ht="20" customHeight="1">
      <c r="B20" s="100" t="inlineStr">
        <is>
          <t>2025-02-01</t>
        </is>
      </c>
      <c r="C20" s="101" t="n">
        <v>4.2</v>
      </c>
      <c r="D20" s="102" t="inlineStr">
        <is>
          <t>◆  STABLE</t>
        </is>
      </c>
      <c r="E20" s="102" t="inlineStr">
        <is>
          <t>NEUTRAL</t>
        </is>
      </c>
      <c r="F20" s="103" t="inlineStr">
        <is>
          <t>Moderate unemployment — labour market within historical norms (4–6.5%)</t>
        </is>
      </c>
    </row>
    <row r="21" ht="16" customHeight="1"/>
    <row r="23" ht="32" customHeight="1">
      <c r="A23" s="80" t="inlineStr">
        <is>
          <t xml:space="preserve">  INITIAL JOBLESS CLAIMS</t>
        </is>
      </c>
      <c r="B23" s="2" t="n"/>
      <c r="C23" s="2" t="n"/>
      <c r="D23" s="2" t="n"/>
      <c r="E23" s="2" t="n"/>
      <c r="F23" s="3" t="n"/>
    </row>
    <row r="24" ht="30" customHeight="1">
      <c r="B24" s="104" t="n">
        <v>210500</v>
      </c>
      <c r="C24" s="57" t="n"/>
      <c r="D24" s="105" t="inlineStr">
        <is>
          <t>EXPANSIONARY</t>
        </is>
      </c>
      <c r="E24" s="83" t="inlineStr">
        <is>
          <t>Economic Impact</t>
        </is>
      </c>
      <c r="F24" s="32" t="inlineStr">
        <is>
          <t>Low jobless claims reflect a healthy labour market</t>
        </is>
      </c>
    </row>
    <row r="25" ht="30" customHeight="1">
      <c r="B25" s="84" t="n"/>
      <c r="C25" s="74" t="n"/>
      <c r="D25" s="85" t="n"/>
      <c r="E25" s="83" t="inlineStr">
        <is>
          <t>Likely Policy Response</t>
        </is>
      </c>
      <c r="F25" s="23" t="inlineStr">
        <is>
          <t>Contractionary  —  Hike rates / QT</t>
        </is>
      </c>
    </row>
    <row r="26" ht="22" customHeight="1">
      <c r="B26" s="86" t="inlineStr">
        <is>
          <t xml:space="preserve">  Thresholds  |  &gt;350k Weak  |  250–350k Moderate  |  &lt;250k Strong</t>
        </is>
      </c>
      <c r="C26" s="2" t="n"/>
      <c r="D26" s="2" t="n"/>
      <c r="E26" s="2" t="n"/>
      <c r="F26" s="3" t="n"/>
    </row>
    <row r="27" ht="22" customHeight="1">
      <c r="B27" s="87" t="inlineStr">
        <is>
          <t>Date</t>
        </is>
      </c>
      <c r="C27" s="87" t="inlineStr">
        <is>
          <t>Value</t>
        </is>
      </c>
      <c r="D27" s="87" t="inlineStr">
        <is>
          <t>Signal</t>
        </is>
      </c>
      <c r="E27" s="87" t="inlineStr">
        <is>
          <t>Pressure</t>
        </is>
      </c>
      <c r="F27" s="88" t="inlineStr">
        <is>
          <t>Assessment</t>
        </is>
      </c>
    </row>
    <row r="28" ht="20" customHeight="1">
      <c r="B28" s="89" t="inlineStr">
        <is>
          <t>2026-03-21</t>
        </is>
      </c>
      <c r="C28" s="106" t="n">
        <v>210500</v>
      </c>
      <c r="D28" s="107" t="inlineStr">
        <is>
          <t>▲  GROWTH</t>
        </is>
      </c>
      <c r="E28" s="107" t="inlineStr">
        <is>
          <t>EXPANSIONARY</t>
        </is>
      </c>
      <c r="F28" s="92" t="inlineStr">
        <is>
          <t>Low jobless claims reflect a healthy labour market</t>
        </is>
      </c>
    </row>
    <row r="29" ht="20" customHeight="1">
      <c r="B29" s="93" t="inlineStr">
        <is>
          <t>2026-03-14</t>
        </is>
      </c>
      <c r="C29" s="108" t="n">
        <v>210750</v>
      </c>
      <c r="D29" s="109" t="inlineStr">
        <is>
          <t>▲  GROWTH</t>
        </is>
      </c>
      <c r="E29" s="109" t="inlineStr">
        <is>
          <t>EXPANSIONARY</t>
        </is>
      </c>
      <c r="F29" s="96" t="inlineStr">
        <is>
          <t>Low jobless claims reflect a healthy labour market</t>
        </is>
      </c>
    </row>
    <row r="30" ht="20" customHeight="1">
      <c r="B30" s="97" t="inlineStr">
        <is>
          <t>2026-03-07</t>
        </is>
      </c>
      <c r="C30" s="110" t="n">
        <v>211500</v>
      </c>
      <c r="D30" s="109" t="inlineStr">
        <is>
          <t>▲  GROWTH</t>
        </is>
      </c>
      <c r="E30" s="109" t="inlineStr">
        <is>
          <t>EXPANSIONARY</t>
        </is>
      </c>
      <c r="F30" s="99" t="inlineStr">
        <is>
          <t>Low jobless claims reflect a healthy labour market</t>
        </is>
      </c>
    </row>
    <row r="31" ht="20" customHeight="1">
      <c r="B31" s="93" t="inlineStr">
        <is>
          <t>2026-02-28</t>
        </is>
      </c>
      <c r="C31" s="108" t="n">
        <v>215750</v>
      </c>
      <c r="D31" s="109" t="inlineStr">
        <is>
          <t>▲  GROWTH</t>
        </is>
      </c>
      <c r="E31" s="109" t="inlineStr">
        <is>
          <t>EXPANSIONARY</t>
        </is>
      </c>
      <c r="F31" s="96" t="inlineStr">
        <is>
          <t>Low jobless claims reflect a healthy labour market</t>
        </is>
      </c>
    </row>
    <row r="32" ht="20" customHeight="1">
      <c r="B32" s="97" t="inlineStr">
        <is>
          <t>2026-02-21</t>
        </is>
      </c>
      <c r="C32" s="110" t="n">
        <v>219750</v>
      </c>
      <c r="D32" s="109" t="inlineStr">
        <is>
          <t>▲  GROWTH</t>
        </is>
      </c>
      <c r="E32" s="109" t="inlineStr">
        <is>
          <t>EXPANSIONARY</t>
        </is>
      </c>
      <c r="F32" s="99" t="inlineStr">
        <is>
          <t>Low jobless claims reflect a healthy labour market</t>
        </is>
      </c>
    </row>
    <row r="33" ht="20" customHeight="1">
      <c r="B33" s="93" t="inlineStr">
        <is>
          <t>2026-02-14</t>
        </is>
      </c>
      <c r="C33" s="108" t="n">
        <v>219750</v>
      </c>
      <c r="D33" s="109" t="inlineStr">
        <is>
          <t>▲  GROWTH</t>
        </is>
      </c>
      <c r="E33" s="109" t="inlineStr">
        <is>
          <t>EXPANSIONARY</t>
        </is>
      </c>
      <c r="F33" s="96" t="inlineStr">
        <is>
          <t>Low jobless claims reflect a healthy labour market</t>
        </is>
      </c>
    </row>
    <row r="34" ht="20" customHeight="1">
      <c r="B34" s="97" t="inlineStr">
        <is>
          <t>2026-02-07</t>
        </is>
      </c>
      <c r="C34" s="110" t="n">
        <v>220250</v>
      </c>
      <c r="D34" s="109" t="inlineStr">
        <is>
          <t>▲  GROWTH</t>
        </is>
      </c>
      <c r="E34" s="109" t="inlineStr">
        <is>
          <t>EXPANSIONARY</t>
        </is>
      </c>
      <c r="F34" s="99" t="inlineStr">
        <is>
          <t>Low jobless claims reflect a healthy labour market</t>
        </is>
      </c>
    </row>
    <row r="35" ht="20" customHeight="1">
      <c r="B35" s="93" t="inlineStr">
        <is>
          <t>2026-01-31</t>
        </is>
      </c>
      <c r="C35" s="108" t="n">
        <v>213000</v>
      </c>
      <c r="D35" s="109" t="inlineStr">
        <is>
          <t>▲  GROWTH</t>
        </is>
      </c>
      <c r="E35" s="109" t="inlineStr">
        <is>
          <t>EXPANSIONARY</t>
        </is>
      </c>
      <c r="F35" s="96" t="inlineStr">
        <is>
          <t>Low jobless claims reflect a healthy labour market</t>
        </is>
      </c>
    </row>
    <row r="36" ht="20" customHeight="1">
      <c r="B36" s="97" t="inlineStr">
        <is>
          <t>2026-01-24</t>
        </is>
      </c>
      <c r="C36" s="110" t="n">
        <v>207250</v>
      </c>
      <c r="D36" s="109" t="inlineStr">
        <is>
          <t>▲  GROWTH</t>
        </is>
      </c>
      <c r="E36" s="109" t="inlineStr">
        <is>
          <t>EXPANSIONARY</t>
        </is>
      </c>
      <c r="F36" s="99" t="inlineStr">
        <is>
          <t>Low jobless claims reflect a healthy labour market</t>
        </is>
      </c>
    </row>
    <row r="37" ht="20" customHeight="1">
      <c r="B37" s="93" t="inlineStr">
        <is>
          <t>2026-01-17</t>
        </is>
      </c>
      <c r="C37" s="108" t="n">
        <v>205250</v>
      </c>
      <c r="D37" s="109" t="inlineStr">
        <is>
          <t>▲  GROWTH</t>
        </is>
      </c>
      <c r="E37" s="109" t="inlineStr">
        <is>
          <t>EXPANSIONARY</t>
        </is>
      </c>
      <c r="F37" s="96" t="inlineStr">
        <is>
          <t>Low jobless claims reflect a healthy labour market</t>
        </is>
      </c>
    </row>
    <row r="38" ht="20" customHeight="1">
      <c r="B38" s="97" t="inlineStr">
        <is>
          <t>2026-01-10</t>
        </is>
      </c>
      <c r="C38" s="110" t="n">
        <v>206500</v>
      </c>
      <c r="D38" s="109" t="inlineStr">
        <is>
          <t>▲  GROWTH</t>
        </is>
      </c>
      <c r="E38" s="109" t="inlineStr">
        <is>
          <t>EXPANSIONARY</t>
        </is>
      </c>
      <c r="F38" s="99" t="inlineStr">
        <is>
          <t>Low jobless claims reflect a healthy labour market</t>
        </is>
      </c>
    </row>
    <row r="39" ht="20" customHeight="1">
      <c r="B39" s="100" t="inlineStr">
        <is>
          <t>2026-01-03</t>
        </is>
      </c>
      <c r="C39" s="111" t="n">
        <v>212250</v>
      </c>
      <c r="D39" s="112" t="inlineStr">
        <is>
          <t>▲  GROWTH</t>
        </is>
      </c>
      <c r="E39" s="112" t="inlineStr">
        <is>
          <t>EXPANSIONARY</t>
        </is>
      </c>
      <c r="F39" s="103" t="inlineStr">
        <is>
          <t>Low jobless claims reflect a healthy labour market</t>
        </is>
      </c>
    </row>
    <row r="40" ht="16" customHeight="1"/>
    <row r="42" ht="32" customHeight="1">
      <c r="A42" s="80" t="inlineStr">
        <is>
          <t xml:space="preserve">  NONFARM PAYROLLS (MOM K)</t>
        </is>
      </c>
      <c r="B42" s="2" t="n"/>
      <c r="C42" s="2" t="n"/>
      <c r="D42" s="2" t="n"/>
      <c r="E42" s="2" t="n"/>
      <c r="F42" s="3" t="n"/>
    </row>
    <row r="43" ht="30" customHeight="1">
      <c r="B43" s="113" t="n">
        <v>-92</v>
      </c>
      <c r="C43" s="57" t="n"/>
      <c r="D43" s="114" t="inlineStr">
        <is>
          <t>CONTRACTIONARY</t>
        </is>
      </c>
      <c r="E43" s="83" t="inlineStr">
        <is>
          <t>Economic Impact</t>
        </is>
      </c>
      <c r="F43" s="32" t="inlineStr">
        <is>
          <t>Net job losses — economy actively shedding workers</t>
        </is>
      </c>
    </row>
    <row r="44" ht="30" customHeight="1">
      <c r="B44" s="84" t="n"/>
      <c r="C44" s="74" t="n"/>
      <c r="D44" s="85" t="n"/>
      <c r="E44" s="83" t="inlineStr">
        <is>
          <t>Likely Policy Response</t>
        </is>
      </c>
      <c r="F44" s="23" t="inlineStr">
        <is>
          <t>Expansionary  —  Cut rates / QE</t>
        </is>
      </c>
    </row>
    <row r="45" ht="22" customHeight="1">
      <c r="B45" s="86" t="inlineStr">
        <is>
          <t xml:space="preserve">  Thresholds  |  &lt;50k Weak  |  50–250k Moderate  |  &gt;250k Strong</t>
        </is>
      </c>
      <c r="C45" s="2" t="n"/>
      <c r="D45" s="2" t="n"/>
      <c r="E45" s="2" t="n"/>
      <c r="F45" s="3" t="n"/>
    </row>
    <row r="46" ht="22" customHeight="1">
      <c r="B46" s="87" t="inlineStr">
        <is>
          <t>Date</t>
        </is>
      </c>
      <c r="C46" s="87" t="inlineStr">
        <is>
          <t>Value</t>
        </is>
      </c>
      <c r="D46" s="87" t="inlineStr">
        <is>
          <t>Signal</t>
        </is>
      </c>
      <c r="E46" s="87" t="inlineStr">
        <is>
          <t>Pressure</t>
        </is>
      </c>
      <c r="F46" s="88" t="inlineStr">
        <is>
          <t>Assessment</t>
        </is>
      </c>
    </row>
    <row r="47" ht="20" customHeight="1">
      <c r="B47" s="89" t="inlineStr">
        <is>
          <t>2026-02-01</t>
        </is>
      </c>
      <c r="C47" s="115" t="n">
        <v>-92</v>
      </c>
      <c r="D47" s="116" t="inlineStr">
        <is>
          <t>▼  CAUTION</t>
        </is>
      </c>
      <c r="E47" s="116" t="inlineStr">
        <is>
          <t>CONTRACTIONARY</t>
        </is>
      </c>
      <c r="F47" s="92" t="inlineStr">
        <is>
          <t>Net job losses — economy actively shedding workers</t>
        </is>
      </c>
    </row>
    <row r="48" ht="20" customHeight="1">
      <c r="B48" s="93" t="inlineStr">
        <is>
          <t>2026-01-01</t>
        </is>
      </c>
      <c r="C48" s="117" t="n">
        <v>126</v>
      </c>
      <c r="D48" s="95" t="inlineStr">
        <is>
          <t>◆  STABLE</t>
        </is>
      </c>
      <c r="E48" s="95" t="inlineStr">
        <is>
          <t>NEUTRAL</t>
        </is>
      </c>
      <c r="F48" s="96" t="inlineStr">
        <is>
          <t>Moderate job creation within the 50–250k range</t>
        </is>
      </c>
    </row>
    <row r="49" ht="20" customHeight="1">
      <c r="B49" s="97" t="inlineStr">
        <is>
          <t>2025-12-01</t>
        </is>
      </c>
      <c r="C49" s="118" t="n">
        <v>-17</v>
      </c>
      <c r="D49" s="119" t="inlineStr">
        <is>
          <t>▼  CAUTION</t>
        </is>
      </c>
      <c r="E49" s="119" t="inlineStr">
        <is>
          <t>CONTRACTIONARY</t>
        </is>
      </c>
      <c r="F49" s="99" t="inlineStr">
        <is>
          <t>Net job losses — economy actively shedding workers</t>
        </is>
      </c>
    </row>
    <row r="50" ht="20" customHeight="1">
      <c r="B50" s="93" t="inlineStr">
        <is>
          <t>2025-11-01</t>
        </is>
      </c>
      <c r="C50" s="117" t="n">
        <v>41</v>
      </c>
      <c r="D50" s="119" t="inlineStr">
        <is>
          <t>▼  CAUTION</t>
        </is>
      </c>
      <c r="E50" s="119" t="inlineStr">
        <is>
          <t>CONTRACTIONARY</t>
        </is>
      </c>
      <c r="F50" s="96" t="inlineStr">
        <is>
          <t>Near-stall job creation — economy losing momentum</t>
        </is>
      </c>
    </row>
    <row r="51" ht="20" customHeight="1">
      <c r="B51" s="97" t="inlineStr">
        <is>
          <t>2025-10-01</t>
        </is>
      </c>
      <c r="C51" s="118" t="n">
        <v>-140</v>
      </c>
      <c r="D51" s="119" t="inlineStr">
        <is>
          <t>▼  CAUTION</t>
        </is>
      </c>
      <c r="E51" s="119" t="inlineStr">
        <is>
          <t>CONTRACTIONARY</t>
        </is>
      </c>
      <c r="F51" s="99" t="inlineStr">
        <is>
          <t>Net job losses — economy actively shedding workers</t>
        </is>
      </c>
    </row>
    <row r="52" ht="20" customHeight="1">
      <c r="B52" s="93" t="inlineStr">
        <is>
          <t>2025-09-01</t>
        </is>
      </c>
      <c r="C52" s="117" t="n">
        <v>76</v>
      </c>
      <c r="D52" s="95" t="inlineStr">
        <is>
          <t>◆  STABLE</t>
        </is>
      </c>
      <c r="E52" s="95" t="inlineStr">
        <is>
          <t>NEUTRAL</t>
        </is>
      </c>
      <c r="F52" s="96" t="inlineStr">
        <is>
          <t>Moderate job creation within the 50–250k range</t>
        </is>
      </c>
    </row>
    <row r="53" ht="20" customHeight="1">
      <c r="B53" s="97" t="inlineStr">
        <is>
          <t>2025-08-01</t>
        </is>
      </c>
      <c r="C53" s="118" t="n">
        <v>-70</v>
      </c>
      <c r="D53" s="119" t="inlineStr">
        <is>
          <t>▼  CAUTION</t>
        </is>
      </c>
      <c r="E53" s="119" t="inlineStr">
        <is>
          <t>CONTRACTIONARY</t>
        </is>
      </c>
      <c r="F53" s="99" t="inlineStr">
        <is>
          <t>Net job losses — economy actively shedding workers</t>
        </is>
      </c>
    </row>
    <row r="54" ht="20" customHeight="1">
      <c r="B54" s="93" t="inlineStr">
        <is>
          <t>2025-07-01</t>
        </is>
      </c>
      <c r="C54" s="117" t="n">
        <v>64</v>
      </c>
      <c r="D54" s="95" t="inlineStr">
        <is>
          <t>◆  STABLE</t>
        </is>
      </c>
      <c r="E54" s="95" t="inlineStr">
        <is>
          <t>NEUTRAL</t>
        </is>
      </c>
      <c r="F54" s="96" t="inlineStr">
        <is>
          <t>Moderate job creation within the 50–250k range</t>
        </is>
      </c>
    </row>
    <row r="55" ht="20" customHeight="1">
      <c r="B55" s="97" t="inlineStr">
        <is>
          <t>2025-06-01</t>
        </is>
      </c>
      <c r="C55" s="118" t="n">
        <v>-20</v>
      </c>
      <c r="D55" s="119" t="inlineStr">
        <is>
          <t>▼  CAUTION</t>
        </is>
      </c>
      <c r="E55" s="119" t="inlineStr">
        <is>
          <t>CONTRACTIONARY</t>
        </is>
      </c>
      <c r="F55" s="99" t="inlineStr">
        <is>
          <t>Net job losses — economy actively shedding workers</t>
        </is>
      </c>
    </row>
    <row r="56" ht="20" customHeight="1">
      <c r="B56" s="93" t="inlineStr">
        <is>
          <t>2025-05-01</t>
        </is>
      </c>
      <c r="C56" s="117" t="n">
        <v>13</v>
      </c>
      <c r="D56" s="119" t="inlineStr">
        <is>
          <t>▼  CAUTION</t>
        </is>
      </c>
      <c r="E56" s="119" t="inlineStr">
        <is>
          <t>CONTRACTIONARY</t>
        </is>
      </c>
      <c r="F56" s="96" t="inlineStr">
        <is>
          <t>Near-stall job creation — economy losing momentum</t>
        </is>
      </c>
    </row>
    <row r="57" ht="20" customHeight="1">
      <c r="B57" s="97" t="inlineStr">
        <is>
          <t>2025-04-01</t>
        </is>
      </c>
      <c r="C57" s="118" t="n">
        <v>108</v>
      </c>
      <c r="D57" s="95" t="inlineStr">
        <is>
          <t>◆  STABLE</t>
        </is>
      </c>
      <c r="E57" s="95" t="inlineStr">
        <is>
          <t>NEUTRAL</t>
        </is>
      </c>
      <c r="F57" s="99" t="inlineStr">
        <is>
          <t>Moderate job creation within the 50–250k range</t>
        </is>
      </c>
    </row>
    <row r="58" ht="20" customHeight="1">
      <c r="B58" s="100" t="inlineStr">
        <is>
          <t>2025-03-01</t>
        </is>
      </c>
      <c r="C58" s="120" t="n">
        <v>67</v>
      </c>
      <c r="D58" s="102" t="inlineStr">
        <is>
          <t>◆  STABLE</t>
        </is>
      </c>
      <c r="E58" s="102" t="inlineStr">
        <is>
          <t>NEUTRAL</t>
        </is>
      </c>
      <c r="F58" s="103" t="inlineStr">
        <is>
          <t>Moderate job creation within the 50–250k range</t>
        </is>
      </c>
    </row>
    <row r="59" ht="16" customHeight="1"/>
    <row r="61" ht="12" customHeight="1"/>
    <row r="62" ht="34" customHeight="1">
      <c r="A62" s="121" t="inlineStr">
        <is>
          <t xml:space="preserve">  HISTORICAL TREND CHARTS  —  Last 12 Months</t>
        </is>
      </c>
      <c r="B62" s="2" t="n"/>
      <c r="C62" s="2" t="n"/>
      <c r="D62" s="2" t="n"/>
      <c r="E62" s="2" t="n"/>
      <c r="F62" s="3" t="n"/>
    </row>
  </sheetData>
  <mergeCells count="15">
    <mergeCell ref="B43:C44"/>
    <mergeCell ref="A2:F2"/>
    <mergeCell ref="B7:F7"/>
    <mergeCell ref="A42:F42"/>
    <mergeCell ref="D43:D44"/>
    <mergeCell ref="A1:F1"/>
    <mergeCell ref="A23:F23"/>
    <mergeCell ref="B5:C6"/>
    <mergeCell ref="B45:F45"/>
    <mergeCell ref="B24:C25"/>
    <mergeCell ref="A4:F4"/>
    <mergeCell ref="A62:F62"/>
    <mergeCell ref="B26:F26"/>
    <mergeCell ref="D24:D25"/>
    <mergeCell ref="D5:D6"/>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A957E8"/>
    <outlinePr summaryBelow="1" summaryRight="1"/>
    <pageSetUpPr/>
  </sheetPr>
  <dimension ref="A1:F81"/>
  <sheetViews>
    <sheetView showGridLines="0" workbookViewId="0">
      <pane ySplit="3" topLeftCell="A4" activePane="bottomLeft" state="frozen"/>
      <selection pane="bottomLeft" activeCell="A1" sqref="A1"/>
    </sheetView>
  </sheetViews>
  <sheetFormatPr baseColWidth="8" defaultRowHeight="15"/>
  <cols>
    <col width="2" customWidth="1" min="1" max="1"/>
    <col width="26" customWidth="1" min="2" max="2"/>
    <col width="16" customWidth="1" min="3" max="3"/>
    <col width="24" customWidth="1" min="4" max="4"/>
    <col width="22" customWidth="1" min="5" max="5"/>
    <col width="58" customWidth="1" min="6" max="6"/>
  </cols>
  <sheetData>
    <row r="1" ht="44" customHeight="1">
      <c r="A1" s="122" t="inlineStr">
        <is>
          <t xml:space="preserve">  INFLATION   —   US ECONOMIC INDICATORS</t>
        </is>
      </c>
      <c r="B1" s="2" t="n"/>
      <c r="C1" s="2" t="n"/>
      <c r="D1" s="2" t="n"/>
      <c r="E1" s="2" t="n"/>
      <c r="F1" s="3" t="n"/>
    </row>
    <row r="2" ht="18" customHeight="1">
      <c r="A2" s="4" t="inlineStr">
        <is>
          <t xml:space="preserve">  Refreshed 01 April 2026, 17:56     |     Source: FRED API  |  ISM &amp; Chicago PMI: Auto-extracted from PDF Reports</t>
        </is>
      </c>
      <c r="B2" s="2" t="n"/>
      <c r="C2" s="2" t="n"/>
      <c r="D2" s="2" t="n"/>
      <c r="E2" s="2" t="n"/>
      <c r="F2" s="3" t="n"/>
    </row>
    <row r="3" ht="10" customHeight="1"/>
    <row r="4" ht="32" customHeight="1">
      <c r="A4" s="123" t="inlineStr">
        <is>
          <t xml:space="preserve">  CPI  (YOY %)</t>
        </is>
      </c>
      <c r="B4" s="2" t="n"/>
      <c r="C4" s="2" t="n"/>
      <c r="D4" s="2" t="n"/>
      <c r="E4" s="2" t="n"/>
      <c r="F4" s="3" t="n"/>
    </row>
    <row r="5" ht="30" customHeight="1">
      <c r="B5" s="124" t="n">
        <v>2.43</v>
      </c>
      <c r="C5" s="57" t="n"/>
      <c r="D5" s="82" t="inlineStr">
        <is>
          <t>NEUTRAL</t>
        </is>
      </c>
      <c r="E5" s="125" t="inlineStr">
        <is>
          <t>Economic Impact</t>
        </is>
      </c>
      <c r="F5" s="32" t="inlineStr">
        <is>
          <t>Inflation near the 2% target (1.5-2.5% range)</t>
        </is>
      </c>
    </row>
    <row r="6" ht="30" customHeight="1">
      <c r="B6" s="84" t="n"/>
      <c r="C6" s="74" t="n"/>
      <c r="D6" s="85" t="n"/>
      <c r="E6" s="125" t="inlineStr">
        <is>
          <t>Likely Policy Response</t>
        </is>
      </c>
      <c r="F6" s="23" t="inlineStr">
        <is>
          <t>Neutral  —  Hold rates</t>
        </is>
      </c>
    </row>
    <row r="7" ht="22" customHeight="1">
      <c r="B7" s="86" t="inlineStr">
        <is>
          <t xml:space="preserve">  Thresholds  |  &gt;2.5% Elevated  |  1.5-2.5% On Target  |  &lt;1.5% Low</t>
        </is>
      </c>
      <c r="C7" s="2" t="n"/>
      <c r="D7" s="2" t="n"/>
      <c r="E7" s="2" t="n"/>
      <c r="F7" s="3" t="n"/>
    </row>
    <row r="8" ht="22" customHeight="1">
      <c r="B8" s="126" t="inlineStr">
        <is>
          <t>Date</t>
        </is>
      </c>
      <c r="C8" s="126" t="inlineStr">
        <is>
          <t>Value</t>
        </is>
      </c>
      <c r="D8" s="126" t="inlineStr">
        <is>
          <t>Signal</t>
        </is>
      </c>
      <c r="E8" s="126" t="inlineStr">
        <is>
          <t>Pressure</t>
        </is>
      </c>
      <c r="F8" s="127" t="inlineStr">
        <is>
          <t>Assessment</t>
        </is>
      </c>
    </row>
    <row r="9" ht="20" customHeight="1">
      <c r="B9" s="89" t="inlineStr">
        <is>
          <t>2026-02-01</t>
        </is>
      </c>
      <c r="C9" s="128" t="n">
        <v>2.43</v>
      </c>
      <c r="D9" s="91" t="inlineStr">
        <is>
          <t>◆  STABLE</t>
        </is>
      </c>
      <c r="E9" s="91" t="inlineStr">
        <is>
          <t>NEUTRAL</t>
        </is>
      </c>
      <c r="F9" s="92" t="inlineStr">
        <is>
          <t>Inflation near the 2% target (1.5-2.5% range)</t>
        </is>
      </c>
    </row>
    <row r="10" ht="20" customHeight="1">
      <c r="B10" s="93" t="inlineStr">
        <is>
          <t>2026-01-01</t>
        </is>
      </c>
      <c r="C10" s="129" t="n">
        <v>2.39</v>
      </c>
      <c r="D10" s="95" t="inlineStr">
        <is>
          <t>◆  STABLE</t>
        </is>
      </c>
      <c r="E10" s="95" t="inlineStr">
        <is>
          <t>NEUTRAL</t>
        </is>
      </c>
      <c r="F10" s="96" t="inlineStr">
        <is>
          <t>Inflation near the 2% target (1.5-2.5% range)</t>
        </is>
      </c>
    </row>
    <row r="11" ht="20" customHeight="1">
      <c r="B11" s="97" t="inlineStr">
        <is>
          <t>2025-12-01</t>
        </is>
      </c>
      <c r="C11" s="130" t="n">
        <v>2.65</v>
      </c>
      <c r="D11" s="119" t="inlineStr">
        <is>
          <t>▼  CAUTION</t>
        </is>
      </c>
      <c r="E11" s="119" t="inlineStr">
        <is>
          <t>CONTRACTIONARY</t>
        </is>
      </c>
      <c r="F11" s="99" t="inlineStr">
        <is>
          <t>Inflation well above the 2% target — purchasing power eroding</t>
        </is>
      </c>
    </row>
    <row r="12" ht="20" customHeight="1">
      <c r="B12" s="93" t="inlineStr">
        <is>
          <t>2025-11-01</t>
        </is>
      </c>
      <c r="C12" s="129" t="n">
        <v>2.7</v>
      </c>
      <c r="D12" s="119" t="inlineStr">
        <is>
          <t>▼  CAUTION</t>
        </is>
      </c>
      <c r="E12" s="119" t="inlineStr">
        <is>
          <t>CONTRACTIONARY</t>
        </is>
      </c>
      <c r="F12" s="96" t="inlineStr">
        <is>
          <t>Inflation well above the 2% target — purchasing power eroding</t>
        </is>
      </c>
    </row>
    <row r="13" ht="20" customHeight="1">
      <c r="B13" s="97" t="inlineStr">
        <is>
          <t>2025-09-01</t>
        </is>
      </c>
      <c r="C13" s="130" t="n">
        <v>3.02</v>
      </c>
      <c r="D13" s="119" t="inlineStr">
        <is>
          <t>▼  CAUTION</t>
        </is>
      </c>
      <c r="E13" s="119" t="inlineStr">
        <is>
          <t>CONTRACTIONARY</t>
        </is>
      </c>
      <c r="F13" s="99" t="inlineStr">
        <is>
          <t>Inflation well above the 2% target — purchasing power eroding</t>
        </is>
      </c>
    </row>
    <row r="14" ht="20" customHeight="1">
      <c r="B14" s="93" t="inlineStr">
        <is>
          <t>2025-08-01</t>
        </is>
      </c>
      <c r="C14" s="129" t="n">
        <v>2.94</v>
      </c>
      <c r="D14" s="119" t="inlineStr">
        <is>
          <t>▼  CAUTION</t>
        </is>
      </c>
      <c r="E14" s="119" t="inlineStr">
        <is>
          <t>CONTRACTIONARY</t>
        </is>
      </c>
      <c r="F14" s="96" t="inlineStr">
        <is>
          <t>Inflation well above the 2% target — purchasing power eroding</t>
        </is>
      </c>
    </row>
    <row r="15" ht="20" customHeight="1">
      <c r="B15" s="97" t="inlineStr">
        <is>
          <t>2025-07-01</t>
        </is>
      </c>
      <c r="C15" s="130" t="n">
        <v>2.74</v>
      </c>
      <c r="D15" s="119" t="inlineStr">
        <is>
          <t>▼  CAUTION</t>
        </is>
      </c>
      <c r="E15" s="119" t="inlineStr">
        <is>
          <t>CONTRACTIONARY</t>
        </is>
      </c>
      <c r="F15" s="99" t="inlineStr">
        <is>
          <t>Inflation well above the 2% target — purchasing power eroding</t>
        </is>
      </c>
    </row>
    <row r="16" ht="20" customHeight="1">
      <c r="B16" s="93" t="inlineStr">
        <is>
          <t>2025-06-01</t>
        </is>
      </c>
      <c r="C16" s="129" t="n">
        <v>2.68</v>
      </c>
      <c r="D16" s="119" t="inlineStr">
        <is>
          <t>▼  CAUTION</t>
        </is>
      </c>
      <c r="E16" s="119" t="inlineStr">
        <is>
          <t>CONTRACTIONARY</t>
        </is>
      </c>
      <c r="F16" s="96" t="inlineStr">
        <is>
          <t>Inflation well above the 2% target — purchasing power eroding</t>
        </is>
      </c>
    </row>
    <row r="17" ht="20" customHeight="1">
      <c r="B17" s="97" t="inlineStr">
        <is>
          <t>2025-05-01</t>
        </is>
      </c>
      <c r="C17" s="130" t="n">
        <v>2.38</v>
      </c>
      <c r="D17" s="95" t="inlineStr">
        <is>
          <t>◆  STABLE</t>
        </is>
      </c>
      <c r="E17" s="95" t="inlineStr">
        <is>
          <t>NEUTRAL</t>
        </is>
      </c>
      <c r="F17" s="99" t="inlineStr">
        <is>
          <t>Inflation near the 2% target (1.5-2.5% range)</t>
        </is>
      </c>
    </row>
    <row r="18" ht="20" customHeight="1">
      <c r="B18" s="93" t="inlineStr">
        <is>
          <t>2025-04-01</t>
        </is>
      </c>
      <c r="C18" s="129" t="n">
        <v>2.33</v>
      </c>
      <c r="D18" s="95" t="inlineStr">
        <is>
          <t>◆  STABLE</t>
        </is>
      </c>
      <c r="E18" s="95" t="inlineStr">
        <is>
          <t>NEUTRAL</t>
        </is>
      </c>
      <c r="F18" s="96" t="inlineStr">
        <is>
          <t>Inflation near the 2% target (1.5-2.5% range)</t>
        </is>
      </c>
    </row>
    <row r="19" ht="20" customHeight="1">
      <c r="B19" s="97" t="inlineStr">
        <is>
          <t>2025-03-01</t>
        </is>
      </c>
      <c r="C19" s="130" t="n">
        <v>2.38</v>
      </c>
      <c r="D19" s="95" t="inlineStr">
        <is>
          <t>◆  STABLE</t>
        </is>
      </c>
      <c r="E19" s="95" t="inlineStr">
        <is>
          <t>NEUTRAL</t>
        </is>
      </c>
      <c r="F19" s="99" t="inlineStr">
        <is>
          <t>Inflation near the 2% target (1.5-2.5% range)</t>
        </is>
      </c>
    </row>
    <row r="20" ht="20" customHeight="1">
      <c r="B20" s="100" t="inlineStr">
        <is>
          <t>2025-02-01</t>
        </is>
      </c>
      <c r="C20" s="131" t="n">
        <v>2.8</v>
      </c>
      <c r="D20" s="132" t="inlineStr">
        <is>
          <t>▼  CAUTION</t>
        </is>
      </c>
      <c r="E20" s="132" t="inlineStr">
        <is>
          <t>CONTRACTIONARY</t>
        </is>
      </c>
      <c r="F20" s="103" t="inlineStr">
        <is>
          <t>Inflation well above the 2% target — purchasing power eroding</t>
        </is>
      </c>
    </row>
    <row r="21" ht="16" customHeight="1"/>
    <row r="23" ht="32" customHeight="1">
      <c r="A23" s="123" t="inlineStr">
        <is>
          <t xml:space="preserve">  CORE CPI  (YOY %)</t>
        </is>
      </c>
      <c r="B23" s="2" t="n"/>
      <c r="C23" s="2" t="n"/>
      <c r="D23" s="2" t="n"/>
      <c r="E23" s="2" t="n"/>
      <c r="F23" s="3" t="n"/>
    </row>
    <row r="24" ht="30" customHeight="1">
      <c r="B24" s="124" t="n">
        <v>2.47</v>
      </c>
      <c r="C24" s="57" t="n"/>
      <c r="D24" s="82" t="inlineStr">
        <is>
          <t>NEUTRAL</t>
        </is>
      </c>
      <c r="E24" s="125" t="inlineStr">
        <is>
          <t>Economic Impact</t>
        </is>
      </c>
      <c r="F24" s="32" t="inlineStr">
        <is>
          <t>Core inflation near the 2% target (1.8–2.5% range)</t>
        </is>
      </c>
    </row>
    <row r="25" ht="30" customHeight="1">
      <c r="B25" s="84" t="n"/>
      <c r="C25" s="74" t="n"/>
      <c r="D25" s="85" t="n"/>
      <c r="E25" s="125" t="inlineStr">
        <is>
          <t>Likely Policy Response</t>
        </is>
      </c>
      <c r="F25" s="23" t="inlineStr">
        <is>
          <t>Neutral  —  Hold rates</t>
        </is>
      </c>
    </row>
    <row r="26" ht="22" customHeight="1">
      <c r="B26" s="86" t="inlineStr">
        <is>
          <t xml:space="preserve">  Thresholds  |  &gt;2.5% Elevated  |  1.8–2.5% On Target  |  &lt;1.8% Low</t>
        </is>
      </c>
      <c r="C26" s="2" t="n"/>
      <c r="D26" s="2" t="n"/>
      <c r="E26" s="2" t="n"/>
      <c r="F26" s="3" t="n"/>
    </row>
    <row r="27" ht="22" customHeight="1">
      <c r="B27" s="126" t="inlineStr">
        <is>
          <t>Date</t>
        </is>
      </c>
      <c r="C27" s="126" t="inlineStr">
        <is>
          <t>Value</t>
        </is>
      </c>
      <c r="D27" s="126" t="inlineStr">
        <is>
          <t>Signal</t>
        </is>
      </c>
      <c r="E27" s="126" t="inlineStr">
        <is>
          <t>Pressure</t>
        </is>
      </c>
      <c r="F27" s="127" t="inlineStr">
        <is>
          <t>Assessment</t>
        </is>
      </c>
    </row>
    <row r="28" ht="20" customHeight="1">
      <c r="B28" s="89" t="inlineStr">
        <is>
          <t>2026-02-01</t>
        </is>
      </c>
      <c r="C28" s="128" t="n">
        <v>2.47</v>
      </c>
      <c r="D28" s="91" t="inlineStr">
        <is>
          <t>◆  STABLE</t>
        </is>
      </c>
      <c r="E28" s="91" t="inlineStr">
        <is>
          <t>NEUTRAL</t>
        </is>
      </c>
      <c r="F28" s="92" t="inlineStr">
        <is>
          <t>Core inflation near the 2% target (1.8–2.5% range)</t>
        </is>
      </c>
    </row>
    <row r="29" ht="20" customHeight="1">
      <c r="B29" s="93" t="inlineStr">
        <is>
          <t>2026-01-01</t>
        </is>
      </c>
      <c r="C29" s="129" t="n">
        <v>2.51</v>
      </c>
      <c r="D29" s="119" t="inlineStr">
        <is>
          <t>▼  CAUTION</t>
        </is>
      </c>
      <c r="E29" s="119" t="inlineStr">
        <is>
          <t>CONTRACTIONARY</t>
        </is>
      </c>
      <c r="F29" s="96" t="inlineStr">
        <is>
          <t>Core inflation well above target — sticky price pressures</t>
        </is>
      </c>
    </row>
    <row r="30" ht="20" customHeight="1">
      <c r="B30" s="97" t="inlineStr">
        <is>
          <t>2025-12-01</t>
        </is>
      </c>
      <c r="C30" s="130" t="n">
        <v>2.65</v>
      </c>
      <c r="D30" s="119" t="inlineStr">
        <is>
          <t>▼  CAUTION</t>
        </is>
      </c>
      <c r="E30" s="119" t="inlineStr">
        <is>
          <t>CONTRACTIONARY</t>
        </is>
      </c>
      <c r="F30" s="99" t="inlineStr">
        <is>
          <t>Core inflation well above target — sticky price pressures</t>
        </is>
      </c>
    </row>
    <row r="31" ht="20" customHeight="1">
      <c r="B31" s="93" t="inlineStr">
        <is>
          <t>2025-11-01</t>
        </is>
      </c>
      <c r="C31" s="129" t="n">
        <v>2.6</v>
      </c>
      <c r="D31" s="119" t="inlineStr">
        <is>
          <t>▼  CAUTION</t>
        </is>
      </c>
      <c r="E31" s="119" t="inlineStr">
        <is>
          <t>CONTRACTIONARY</t>
        </is>
      </c>
      <c r="F31" s="96" t="inlineStr">
        <is>
          <t>Core inflation well above target — sticky price pressures</t>
        </is>
      </c>
    </row>
    <row r="32" ht="20" customHeight="1">
      <c r="B32" s="97" t="inlineStr">
        <is>
          <t>2025-09-01</t>
        </is>
      </c>
      <c r="C32" s="130" t="n">
        <v>3.02</v>
      </c>
      <c r="D32" s="119" t="inlineStr">
        <is>
          <t>▼  CAUTION</t>
        </is>
      </c>
      <c r="E32" s="119" t="inlineStr">
        <is>
          <t>CONTRACTIONARY</t>
        </is>
      </c>
      <c r="F32" s="99" t="inlineStr">
        <is>
          <t>Core inflation well above target — sticky price pressures</t>
        </is>
      </c>
    </row>
    <row r="33" ht="20" customHeight="1">
      <c r="B33" s="93" t="inlineStr">
        <is>
          <t>2025-08-01</t>
        </is>
      </c>
      <c r="C33" s="129" t="n">
        <v>3.11</v>
      </c>
      <c r="D33" s="119" t="inlineStr">
        <is>
          <t>▼  CAUTION</t>
        </is>
      </c>
      <c r="E33" s="119" t="inlineStr">
        <is>
          <t>CONTRACTIONARY</t>
        </is>
      </c>
      <c r="F33" s="96" t="inlineStr">
        <is>
          <t>Core inflation well above target — sticky price pressures</t>
        </is>
      </c>
    </row>
    <row r="34" ht="20" customHeight="1">
      <c r="B34" s="97" t="inlineStr">
        <is>
          <t>2025-07-01</t>
        </is>
      </c>
      <c r="C34" s="130" t="n">
        <v>3.05</v>
      </c>
      <c r="D34" s="119" t="inlineStr">
        <is>
          <t>▼  CAUTION</t>
        </is>
      </c>
      <c r="E34" s="119" t="inlineStr">
        <is>
          <t>CONTRACTIONARY</t>
        </is>
      </c>
      <c r="F34" s="99" t="inlineStr">
        <is>
          <t>Core inflation well above target — sticky price pressures</t>
        </is>
      </c>
    </row>
    <row r="35" ht="20" customHeight="1">
      <c r="B35" s="93" t="inlineStr">
        <is>
          <t>2025-06-01</t>
        </is>
      </c>
      <c r="C35" s="129" t="n">
        <v>2.91</v>
      </c>
      <c r="D35" s="119" t="inlineStr">
        <is>
          <t>▼  CAUTION</t>
        </is>
      </c>
      <c r="E35" s="119" t="inlineStr">
        <is>
          <t>CONTRACTIONARY</t>
        </is>
      </c>
      <c r="F35" s="96" t="inlineStr">
        <is>
          <t>Core inflation well above target — sticky price pressures</t>
        </is>
      </c>
    </row>
    <row r="36" ht="20" customHeight="1">
      <c r="B36" s="97" t="inlineStr">
        <is>
          <t>2025-05-01</t>
        </is>
      </c>
      <c r="C36" s="130" t="n">
        <v>2.77</v>
      </c>
      <c r="D36" s="119" t="inlineStr">
        <is>
          <t>▼  CAUTION</t>
        </is>
      </c>
      <c r="E36" s="119" t="inlineStr">
        <is>
          <t>CONTRACTIONARY</t>
        </is>
      </c>
      <c r="F36" s="99" t="inlineStr">
        <is>
          <t>Core inflation well above target — sticky price pressures</t>
        </is>
      </c>
    </row>
    <row r="37" ht="20" customHeight="1">
      <c r="B37" s="93" t="inlineStr">
        <is>
          <t>2025-04-01</t>
        </is>
      </c>
      <c r="C37" s="129" t="n">
        <v>2.78</v>
      </c>
      <c r="D37" s="119" t="inlineStr">
        <is>
          <t>▼  CAUTION</t>
        </is>
      </c>
      <c r="E37" s="119" t="inlineStr">
        <is>
          <t>CONTRACTIONARY</t>
        </is>
      </c>
      <c r="F37" s="96" t="inlineStr">
        <is>
          <t>Core inflation well above target — sticky price pressures</t>
        </is>
      </c>
    </row>
    <row r="38" ht="20" customHeight="1">
      <c r="B38" s="97" t="inlineStr">
        <is>
          <t>2025-03-01</t>
        </is>
      </c>
      <c r="C38" s="130" t="n">
        <v>2.81</v>
      </c>
      <c r="D38" s="119" t="inlineStr">
        <is>
          <t>▼  CAUTION</t>
        </is>
      </c>
      <c r="E38" s="119" t="inlineStr">
        <is>
          <t>CONTRACTIONARY</t>
        </is>
      </c>
      <c r="F38" s="99" t="inlineStr">
        <is>
          <t>Core inflation well above target — sticky price pressures</t>
        </is>
      </c>
    </row>
    <row r="39" ht="20" customHeight="1">
      <c r="B39" s="100" t="inlineStr">
        <is>
          <t>2025-02-01</t>
        </is>
      </c>
      <c r="C39" s="131" t="n">
        <v>3.14</v>
      </c>
      <c r="D39" s="132" t="inlineStr">
        <is>
          <t>▼  CAUTION</t>
        </is>
      </c>
      <c r="E39" s="132" t="inlineStr">
        <is>
          <t>CONTRACTIONARY</t>
        </is>
      </c>
      <c r="F39" s="103" t="inlineStr">
        <is>
          <t>Core inflation well above target — sticky price pressures</t>
        </is>
      </c>
    </row>
    <row r="40" ht="16" customHeight="1"/>
    <row r="42" ht="32" customHeight="1">
      <c r="A42" s="123" t="inlineStr">
        <is>
          <t xml:space="preserve">  PPI — ALL COMMODITIES  (MOM %)</t>
        </is>
      </c>
      <c r="B42" s="2" t="n"/>
      <c r="C42" s="2" t="n"/>
      <c r="D42" s="2" t="n"/>
      <c r="E42" s="2" t="n"/>
      <c r="F42" s="3" t="n"/>
    </row>
    <row r="43" ht="30" customHeight="1">
      <c r="B43" s="133" t="n">
        <v>2.08</v>
      </c>
      <c r="C43" s="57" t="n"/>
      <c r="D43" s="114" t="inlineStr">
        <is>
          <t>CONTRACTIONARY</t>
        </is>
      </c>
      <c r="E43" s="125" t="inlineStr">
        <is>
          <t>Economic Impact</t>
        </is>
      </c>
      <c r="F43" s="32" t="inlineStr">
        <is>
          <t>Elevated producer prices likely to feed through to CPI</t>
        </is>
      </c>
    </row>
    <row r="44" ht="30" customHeight="1">
      <c r="B44" s="84" t="n"/>
      <c r="C44" s="74" t="n"/>
      <c r="D44" s="85" t="n"/>
      <c r="E44" s="125" t="inlineStr">
        <is>
          <t>Likely Policy Response</t>
        </is>
      </c>
      <c r="F44" s="23" t="inlineStr">
        <is>
          <t>Contractionary  —  Hike rates / QT</t>
        </is>
      </c>
    </row>
    <row r="45" ht="22" customHeight="1">
      <c r="B45" s="86" t="inlineStr">
        <is>
          <t xml:space="preserve">  Thresholds  |  &gt;0.5% Elevated  |  0–0.5% Moderate  |  &lt;0% Falling</t>
        </is>
      </c>
      <c r="C45" s="2" t="n"/>
      <c r="D45" s="2" t="n"/>
      <c r="E45" s="2" t="n"/>
      <c r="F45" s="3" t="n"/>
    </row>
    <row r="46" ht="22" customHeight="1">
      <c r="B46" s="126" t="inlineStr">
        <is>
          <t>Date</t>
        </is>
      </c>
      <c r="C46" s="126" t="inlineStr">
        <is>
          <t>Value</t>
        </is>
      </c>
      <c r="D46" s="126" t="inlineStr">
        <is>
          <t>Signal</t>
        </is>
      </c>
      <c r="E46" s="126" t="inlineStr">
        <is>
          <t>Pressure</t>
        </is>
      </c>
      <c r="F46" s="127" t="inlineStr">
        <is>
          <t>Assessment</t>
        </is>
      </c>
    </row>
    <row r="47" ht="20" customHeight="1">
      <c r="B47" s="89" t="inlineStr">
        <is>
          <t>2026-02-01</t>
        </is>
      </c>
      <c r="C47" s="128" t="n">
        <v>2.08</v>
      </c>
      <c r="D47" s="116" t="inlineStr">
        <is>
          <t>▼  CAUTION</t>
        </is>
      </c>
      <c r="E47" s="116" t="inlineStr">
        <is>
          <t>CONTRACTIONARY</t>
        </is>
      </c>
      <c r="F47" s="92" t="inlineStr">
        <is>
          <t>Elevated producer prices likely to feed through to CPI</t>
        </is>
      </c>
    </row>
    <row r="48" ht="20" customHeight="1">
      <c r="B48" s="93" t="inlineStr">
        <is>
          <t>2026-01-01</t>
        </is>
      </c>
      <c r="C48" s="129" t="n">
        <v>0.52</v>
      </c>
      <c r="D48" s="119" t="inlineStr">
        <is>
          <t>▼  CAUTION</t>
        </is>
      </c>
      <c r="E48" s="119" t="inlineStr">
        <is>
          <t>CONTRACTIONARY</t>
        </is>
      </c>
      <c r="F48" s="96" t="inlineStr">
        <is>
          <t>Elevated producer prices likely to feed through to CPI</t>
        </is>
      </c>
    </row>
    <row r="49" ht="20" customHeight="1">
      <c r="B49" s="97" t="inlineStr">
        <is>
          <t>2025-12-01</t>
        </is>
      </c>
      <c r="C49" s="130" t="n">
        <v>-0.21</v>
      </c>
      <c r="D49" s="119" t="inlineStr">
        <is>
          <t>▼  CAUTION</t>
        </is>
      </c>
      <c r="E49" s="119" t="inlineStr">
        <is>
          <t>CONTRACTIONARY</t>
        </is>
      </c>
      <c r="F49" s="99" t="inlineStr">
        <is>
          <t>Falling producer prices — deflationary risk signals a cooling economy</t>
        </is>
      </c>
    </row>
    <row r="50" ht="20" customHeight="1">
      <c r="B50" s="93" t="inlineStr">
        <is>
          <t>2025-11-01</t>
        </is>
      </c>
      <c r="C50" s="129" t="n">
        <v>0.38</v>
      </c>
      <c r="D50" s="95" t="inlineStr">
        <is>
          <t>◆  STABLE</t>
        </is>
      </c>
      <c r="E50" s="95" t="inlineStr">
        <is>
          <t>NEUTRAL</t>
        </is>
      </c>
      <c r="F50" s="96" t="inlineStr">
        <is>
          <t>Producer price growth contained within 0–0.5% MoM</t>
        </is>
      </c>
    </row>
    <row r="51" ht="20" customHeight="1">
      <c r="B51" s="97" t="inlineStr">
        <is>
          <t>2025-10-01</t>
        </is>
      </c>
      <c r="C51" s="130" t="n">
        <v>-0.5600000000000001</v>
      </c>
      <c r="D51" s="119" t="inlineStr">
        <is>
          <t>▼  CAUTION</t>
        </is>
      </c>
      <c r="E51" s="119" t="inlineStr">
        <is>
          <t>CONTRACTIONARY</t>
        </is>
      </c>
      <c r="F51" s="99" t="inlineStr">
        <is>
          <t>Falling producer prices — deflationary risk signals a cooling economy</t>
        </is>
      </c>
    </row>
    <row r="52" ht="20" customHeight="1">
      <c r="B52" s="93" t="inlineStr">
        <is>
          <t>2025-09-01</t>
        </is>
      </c>
      <c r="C52" s="129" t="n">
        <v>-0.02</v>
      </c>
      <c r="D52" s="119" t="inlineStr">
        <is>
          <t>▼  CAUTION</t>
        </is>
      </c>
      <c r="E52" s="119" t="inlineStr">
        <is>
          <t>CONTRACTIONARY</t>
        </is>
      </c>
      <c r="F52" s="96" t="inlineStr">
        <is>
          <t>Falling producer prices — deflationary risk signals a cooling economy</t>
        </is>
      </c>
    </row>
    <row r="53" ht="20" customHeight="1">
      <c r="B53" s="97" t="inlineStr">
        <is>
          <t>2025-08-01</t>
        </is>
      </c>
      <c r="C53" s="130" t="n">
        <v>-0.09</v>
      </c>
      <c r="D53" s="119" t="inlineStr">
        <is>
          <t>▼  CAUTION</t>
        </is>
      </c>
      <c r="E53" s="119" t="inlineStr">
        <is>
          <t>CONTRACTIONARY</t>
        </is>
      </c>
      <c r="F53" s="99" t="inlineStr">
        <is>
          <t>Falling producer prices — deflationary risk signals a cooling economy</t>
        </is>
      </c>
    </row>
    <row r="54" ht="20" customHeight="1">
      <c r="B54" s="93" t="inlineStr">
        <is>
          <t>2025-07-01</t>
        </is>
      </c>
      <c r="C54" s="129" t="n">
        <v>0.72</v>
      </c>
      <c r="D54" s="119" t="inlineStr">
        <is>
          <t>▼  CAUTION</t>
        </is>
      </c>
      <c r="E54" s="119" t="inlineStr">
        <is>
          <t>CONTRACTIONARY</t>
        </is>
      </c>
      <c r="F54" s="96" t="inlineStr">
        <is>
          <t>Elevated producer prices likely to feed through to CPI</t>
        </is>
      </c>
    </row>
    <row r="55" ht="20" customHeight="1">
      <c r="B55" s="97" t="inlineStr">
        <is>
          <t>2025-06-01</t>
        </is>
      </c>
      <c r="C55" s="130" t="n">
        <v>0.7</v>
      </c>
      <c r="D55" s="119" t="inlineStr">
        <is>
          <t>▼  CAUTION</t>
        </is>
      </c>
      <c r="E55" s="119" t="inlineStr">
        <is>
          <t>CONTRACTIONARY</t>
        </is>
      </c>
      <c r="F55" s="99" t="inlineStr">
        <is>
          <t>Elevated producer prices likely to feed through to CPI</t>
        </is>
      </c>
    </row>
    <row r="56" ht="20" customHeight="1">
      <c r="B56" s="93" t="inlineStr">
        <is>
          <t>2025-05-01</t>
        </is>
      </c>
      <c r="C56" s="129" t="n">
        <v>0.11</v>
      </c>
      <c r="D56" s="95" t="inlineStr">
        <is>
          <t>◆  STABLE</t>
        </is>
      </c>
      <c r="E56" s="95" t="inlineStr">
        <is>
          <t>NEUTRAL</t>
        </is>
      </c>
      <c r="F56" s="96" t="inlineStr">
        <is>
          <t>Producer price growth contained within 0–0.5% MoM</t>
        </is>
      </c>
    </row>
    <row r="57" ht="20" customHeight="1">
      <c r="B57" s="97" t="inlineStr">
        <is>
          <t>2025-04-01</t>
        </is>
      </c>
      <c r="C57" s="130" t="n">
        <v>-0.05</v>
      </c>
      <c r="D57" s="119" t="inlineStr">
        <is>
          <t>▼  CAUTION</t>
        </is>
      </c>
      <c r="E57" s="119" t="inlineStr">
        <is>
          <t>CONTRACTIONARY</t>
        </is>
      </c>
      <c r="F57" s="99" t="inlineStr">
        <is>
          <t>Falling producer prices — deflationary risk signals a cooling economy</t>
        </is>
      </c>
    </row>
    <row r="58" ht="20" customHeight="1">
      <c r="B58" s="100" t="inlineStr">
        <is>
          <t>2025-03-01</t>
        </is>
      </c>
      <c r="C58" s="131" t="n">
        <v>-0.37</v>
      </c>
      <c r="D58" s="132" t="inlineStr">
        <is>
          <t>▼  CAUTION</t>
        </is>
      </c>
      <c r="E58" s="132" t="inlineStr">
        <is>
          <t>CONTRACTIONARY</t>
        </is>
      </c>
      <c r="F58" s="103" t="inlineStr">
        <is>
          <t>Falling producer prices — deflationary risk signals a cooling economy</t>
        </is>
      </c>
    </row>
    <row r="59" ht="16" customHeight="1"/>
    <row r="61" ht="32" customHeight="1">
      <c r="A61" s="123" t="inlineStr">
        <is>
          <t xml:space="preserve">  CRB COMMODITY INDEX (YOY %)</t>
        </is>
      </c>
      <c r="B61" s="2" t="n"/>
      <c r="C61" s="2" t="n"/>
      <c r="D61" s="2" t="n"/>
      <c r="E61" s="2" t="n"/>
      <c r="F61" s="3" t="n"/>
    </row>
    <row r="62" ht="30" customHeight="1">
      <c r="B62" s="124" t="n">
        <v>7.01</v>
      </c>
      <c r="C62" s="57" t="n"/>
      <c r="D62" s="82" t="inlineStr">
        <is>
          <t>NEUTRAL</t>
        </is>
      </c>
      <c r="E62" s="125" t="inlineStr">
        <is>
          <t>Economic Impact</t>
        </is>
      </c>
      <c r="F62" s="32" t="inlineStr">
        <is>
          <t>Commodity price growth within normal range (-10% to +10%)</t>
        </is>
      </c>
    </row>
    <row r="63" ht="30" customHeight="1">
      <c r="B63" s="84" t="n"/>
      <c r="C63" s="74" t="n"/>
      <c r="D63" s="85" t="n"/>
      <c r="E63" s="125" t="inlineStr">
        <is>
          <t>Likely Policy Response</t>
        </is>
      </c>
      <c r="F63" s="23" t="inlineStr">
        <is>
          <t>Neutral  —  Hold rates</t>
        </is>
      </c>
    </row>
    <row r="64" ht="22" customHeight="1">
      <c r="B64" s="86" t="inlineStr">
        <is>
          <t xml:space="preserve">  Thresholds  |  &gt;10% Elevated  |  -10% to 10% Normal  |  &lt;-10% Falling</t>
        </is>
      </c>
      <c r="C64" s="2" t="n"/>
      <c r="D64" s="2" t="n"/>
      <c r="E64" s="2" t="n"/>
      <c r="F64" s="3" t="n"/>
    </row>
    <row r="65" ht="22" customHeight="1">
      <c r="B65" s="126" t="inlineStr">
        <is>
          <t>Date</t>
        </is>
      </c>
      <c r="C65" s="126" t="inlineStr">
        <is>
          <t>Value</t>
        </is>
      </c>
      <c r="D65" s="126" t="inlineStr">
        <is>
          <t>Signal</t>
        </is>
      </c>
      <c r="E65" s="126" t="inlineStr">
        <is>
          <t>Pressure</t>
        </is>
      </c>
      <c r="F65" s="127" t="inlineStr">
        <is>
          <t>Assessment</t>
        </is>
      </c>
    </row>
    <row r="66" ht="20" customHeight="1">
      <c r="B66" s="89" t="inlineStr">
        <is>
          <t>2026-02-01</t>
        </is>
      </c>
      <c r="C66" s="128" t="n">
        <v>7.01</v>
      </c>
      <c r="D66" s="91" t="inlineStr">
        <is>
          <t>◆  STABLE</t>
        </is>
      </c>
      <c r="E66" s="91" t="inlineStr">
        <is>
          <t>NEUTRAL</t>
        </is>
      </c>
      <c r="F66" s="92" t="inlineStr">
        <is>
          <t>Commodity price growth within normal range (-10% to +10%)</t>
        </is>
      </c>
    </row>
    <row r="67" ht="20" customHeight="1">
      <c r="B67" s="93" t="inlineStr">
        <is>
          <t>2026-01-01</t>
        </is>
      </c>
      <c r="C67" s="129" t="n">
        <v>4.36</v>
      </c>
      <c r="D67" s="95" t="inlineStr">
        <is>
          <t>◆  STABLE</t>
        </is>
      </c>
      <c r="E67" s="95" t="inlineStr">
        <is>
          <t>NEUTRAL</t>
        </is>
      </c>
      <c r="F67" s="96" t="inlineStr">
        <is>
          <t>Commodity price growth within normal range (-10% to +10%)</t>
        </is>
      </c>
    </row>
    <row r="68" ht="20" customHeight="1">
      <c r="B68" s="97" t="inlineStr">
        <is>
          <t>2025-12-01</t>
        </is>
      </c>
      <c r="C68" s="130" t="n">
        <v>2.43</v>
      </c>
      <c r="D68" s="95" t="inlineStr">
        <is>
          <t>◆  STABLE</t>
        </is>
      </c>
      <c r="E68" s="95" t="inlineStr">
        <is>
          <t>NEUTRAL</t>
        </is>
      </c>
      <c r="F68" s="99" t="inlineStr">
        <is>
          <t>Commodity price growth within normal range (-10% to +10%)</t>
        </is>
      </c>
    </row>
    <row r="69" ht="20" customHeight="1">
      <c r="B69" s="93" t="inlineStr">
        <is>
          <t>2025-11-01</t>
        </is>
      </c>
      <c r="C69" s="129" t="n">
        <v>1.46</v>
      </c>
      <c r="D69" s="95" t="inlineStr">
        <is>
          <t>◆  STABLE</t>
        </is>
      </c>
      <c r="E69" s="95" t="inlineStr">
        <is>
          <t>NEUTRAL</t>
        </is>
      </c>
      <c r="F69" s="96" t="inlineStr">
        <is>
          <t>Commodity price growth within normal range (-10% to +10%)</t>
        </is>
      </c>
    </row>
    <row r="70" ht="20" customHeight="1">
      <c r="B70" s="97" t="inlineStr">
        <is>
          <t>2025-10-01</t>
        </is>
      </c>
      <c r="C70" s="130" t="n">
        <v>0.77</v>
      </c>
      <c r="D70" s="95" t="inlineStr">
        <is>
          <t>◆  STABLE</t>
        </is>
      </c>
      <c r="E70" s="95" t="inlineStr">
        <is>
          <t>NEUTRAL</t>
        </is>
      </c>
      <c r="F70" s="99" t="inlineStr">
        <is>
          <t>Commodity price growth within normal range (-10% to +10%)</t>
        </is>
      </c>
    </row>
    <row r="71" ht="20" customHeight="1">
      <c r="B71" s="93" t="inlineStr">
        <is>
          <t>2025-09-01</t>
        </is>
      </c>
      <c r="C71" s="129" t="n">
        <v>3.82</v>
      </c>
      <c r="D71" s="95" t="inlineStr">
        <is>
          <t>◆  STABLE</t>
        </is>
      </c>
      <c r="E71" s="95" t="inlineStr">
        <is>
          <t>NEUTRAL</t>
        </is>
      </c>
      <c r="F71" s="96" t="inlineStr">
        <is>
          <t>Commodity price growth within normal range (-10% to +10%)</t>
        </is>
      </c>
    </row>
    <row r="72" ht="20" customHeight="1">
      <c r="B72" s="97" t="inlineStr">
        <is>
          <t>2025-08-01</t>
        </is>
      </c>
      <c r="C72" s="130" t="n">
        <v>-0.49</v>
      </c>
      <c r="D72" s="95" t="inlineStr">
        <is>
          <t>◆  STABLE</t>
        </is>
      </c>
      <c r="E72" s="95" t="inlineStr">
        <is>
          <t>NEUTRAL</t>
        </is>
      </c>
      <c r="F72" s="99" t="inlineStr">
        <is>
          <t>Commodity price growth within normal range (-10% to +10%)</t>
        </is>
      </c>
    </row>
    <row r="73" ht="20" customHeight="1">
      <c r="B73" s="93" t="inlineStr">
        <is>
          <t>2025-07-01</t>
        </is>
      </c>
      <c r="C73" s="129" t="n">
        <v>-0.25</v>
      </c>
      <c r="D73" s="95" t="inlineStr">
        <is>
          <t>◆  STABLE</t>
        </is>
      </c>
      <c r="E73" s="95" t="inlineStr">
        <is>
          <t>NEUTRAL</t>
        </is>
      </c>
      <c r="F73" s="96" t="inlineStr">
        <is>
          <t>Commodity price growth within normal range (-10% to +10%)</t>
        </is>
      </c>
    </row>
    <row r="74" ht="20" customHeight="1">
      <c r="B74" s="97" t="inlineStr">
        <is>
          <t>2025-06-01</t>
        </is>
      </c>
      <c r="C74" s="130" t="n">
        <v>-0.33</v>
      </c>
      <c r="D74" s="95" t="inlineStr">
        <is>
          <t>◆  STABLE</t>
        </is>
      </c>
      <c r="E74" s="95" t="inlineStr">
        <is>
          <t>NEUTRAL</t>
        </is>
      </c>
      <c r="F74" s="99" t="inlineStr">
        <is>
          <t>Commodity price growth within normal range (-10% to +10%)</t>
        </is>
      </c>
    </row>
    <row r="75" ht="20" customHeight="1">
      <c r="B75" s="93" t="inlineStr">
        <is>
          <t>2025-05-01</t>
        </is>
      </c>
      <c r="C75" s="129" t="n">
        <v>-4.44</v>
      </c>
      <c r="D75" s="95" t="inlineStr">
        <is>
          <t>◆  STABLE</t>
        </is>
      </c>
      <c r="E75" s="95" t="inlineStr">
        <is>
          <t>NEUTRAL</t>
        </is>
      </c>
      <c r="F75" s="96" t="inlineStr">
        <is>
          <t>Commodity price growth within normal range (-10% to +10%)</t>
        </is>
      </c>
    </row>
    <row r="76" ht="20" customHeight="1">
      <c r="B76" s="97" t="inlineStr">
        <is>
          <t>2025-04-01</t>
        </is>
      </c>
      <c r="C76" s="130" t="n">
        <v>-4.49</v>
      </c>
      <c r="D76" s="95" t="inlineStr">
        <is>
          <t>◆  STABLE</t>
        </is>
      </c>
      <c r="E76" s="95" t="inlineStr">
        <is>
          <t>NEUTRAL</t>
        </is>
      </c>
      <c r="F76" s="99" t="inlineStr">
        <is>
          <t>Commodity price growth within normal range (-10% to +10%)</t>
        </is>
      </c>
    </row>
    <row r="77" ht="20" customHeight="1">
      <c r="B77" s="100" t="inlineStr">
        <is>
          <t>2025-03-01</t>
        </is>
      </c>
      <c r="C77" s="131" t="n">
        <v>2.81</v>
      </c>
      <c r="D77" s="102" t="inlineStr">
        <is>
          <t>◆  STABLE</t>
        </is>
      </c>
      <c r="E77" s="102" t="inlineStr">
        <is>
          <t>NEUTRAL</t>
        </is>
      </c>
      <c r="F77" s="103" t="inlineStr">
        <is>
          <t>Commodity price growth within normal range (-10% to +10%)</t>
        </is>
      </c>
    </row>
    <row r="78" ht="16" customHeight="1"/>
    <row r="80" ht="12" customHeight="1"/>
    <row r="81" ht="34" customHeight="1">
      <c r="A81" s="121" t="inlineStr">
        <is>
          <t xml:space="preserve">  HISTORICAL TREND CHARTS  —  Last 12 Months</t>
        </is>
      </c>
      <c r="B81" s="2" t="n"/>
      <c r="C81" s="2" t="n"/>
      <c r="D81" s="2" t="n"/>
      <c r="E81" s="2" t="n"/>
      <c r="F81" s="3" t="n"/>
    </row>
  </sheetData>
  <mergeCells count="19">
    <mergeCell ref="B7:F7"/>
    <mergeCell ref="B24:C25"/>
    <mergeCell ref="A2:F2"/>
    <mergeCell ref="A42:F42"/>
    <mergeCell ref="A23:F23"/>
    <mergeCell ref="B5:C6"/>
    <mergeCell ref="A4:F4"/>
    <mergeCell ref="D62:D63"/>
    <mergeCell ref="A81:F81"/>
    <mergeCell ref="D24:D25"/>
    <mergeCell ref="D43:D44"/>
    <mergeCell ref="B62:C63"/>
    <mergeCell ref="D5:D6"/>
    <mergeCell ref="B43:C44"/>
    <mergeCell ref="B64:F64"/>
    <mergeCell ref="A1:F1"/>
    <mergeCell ref="A61:F61"/>
    <mergeCell ref="B45:F45"/>
    <mergeCell ref="B26:F26"/>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C98CFF"/>
    <outlinePr summaryBelow="1" summaryRight="1"/>
    <pageSetUpPr/>
  </sheetPr>
  <dimension ref="A1:F48"/>
  <sheetViews>
    <sheetView showGridLines="0" workbookViewId="0">
      <pane ySplit="3" topLeftCell="A4" activePane="bottomLeft" state="frozen"/>
      <selection pane="bottomLeft" activeCell="A1" sqref="A1"/>
    </sheetView>
  </sheetViews>
  <sheetFormatPr baseColWidth="8" defaultRowHeight="15"/>
  <cols>
    <col width="2" customWidth="1" min="1" max="1"/>
    <col width="26" customWidth="1" min="2" max="2"/>
    <col width="16" customWidth="1" min="3" max="3"/>
    <col width="24" customWidth="1" min="4" max="4"/>
    <col width="22" customWidth="1" min="5" max="5"/>
    <col width="58" customWidth="1" min="6" max="6"/>
  </cols>
  <sheetData>
    <row r="1" ht="44" customHeight="1">
      <c r="A1" s="134" t="inlineStr">
        <is>
          <t xml:space="preserve">  ECONOMIC ACTIVITIES   —   US ECONOMIC INDICATORS</t>
        </is>
      </c>
      <c r="B1" s="2" t="n"/>
      <c r="C1" s="2" t="n"/>
      <c r="D1" s="2" t="n"/>
      <c r="E1" s="2" t="n"/>
      <c r="F1" s="3" t="n"/>
    </row>
    <row r="2" ht="18" customHeight="1">
      <c r="A2" s="4" t="inlineStr">
        <is>
          <t xml:space="preserve">  Refreshed 01 April 2026, 17:56     |     Source: FRED API  |  ISM &amp; Chicago PMI: Auto-extracted from PDF Reports</t>
        </is>
      </c>
      <c r="B2" s="2" t="n"/>
      <c r="C2" s="2" t="n"/>
      <c r="D2" s="2" t="n"/>
      <c r="E2" s="2" t="n"/>
      <c r="F2" s="3" t="n"/>
    </row>
    <row r="3" ht="10" customHeight="1"/>
    <row r="4" ht="32" customHeight="1">
      <c r="A4" s="135" t="inlineStr">
        <is>
          <t xml:space="preserve">  ISM MANUFACTURING PMI</t>
        </is>
      </c>
      <c r="B4" s="2" t="n"/>
      <c r="C4" s="2" t="n"/>
      <c r="D4" s="2" t="n"/>
      <c r="E4" s="2" t="n"/>
      <c r="F4" s="3" t="n"/>
    </row>
    <row r="5" ht="30" customHeight="1">
      <c r="B5" s="136" t="n">
        <v>52.4</v>
      </c>
      <c r="C5" s="57" t="n"/>
      <c r="D5" s="82" t="inlineStr">
        <is>
          <t>NEUTRAL</t>
        </is>
      </c>
      <c r="E5" s="137" t="inlineStr">
        <is>
          <t>Economic Impact</t>
        </is>
      </c>
      <c r="F5" s="32" t="inlineStr">
        <is>
          <t>Moderate manufacturing expansion — reading between 50 and 56</t>
        </is>
      </c>
    </row>
    <row r="6" ht="30" customHeight="1">
      <c r="B6" s="84" t="n"/>
      <c r="C6" s="74" t="n"/>
      <c r="D6" s="85" t="n"/>
      <c r="E6" s="137" t="inlineStr">
        <is>
          <t>Likely Policy Response</t>
        </is>
      </c>
      <c r="F6" s="23" t="inlineStr">
        <is>
          <t>Neutral  —  Hold rates</t>
        </is>
      </c>
    </row>
    <row r="7" ht="22" customHeight="1">
      <c r="B7" s="86" t="inlineStr">
        <is>
          <t xml:space="preserve">  Thresholds  |  &gt;56 Strong  |  50–56 Moderate  |  &lt;50 Contraction</t>
        </is>
      </c>
      <c r="C7" s="2" t="n"/>
      <c r="D7" s="2" t="n"/>
      <c r="E7" s="2" t="n"/>
      <c r="F7" s="3" t="n"/>
    </row>
    <row r="8" ht="22" customHeight="1">
      <c r="B8" s="138" t="inlineStr">
        <is>
          <t>Date</t>
        </is>
      </c>
      <c r="C8" s="138" t="inlineStr">
        <is>
          <t>Value</t>
        </is>
      </c>
      <c r="D8" s="138" t="inlineStr">
        <is>
          <t>Signal</t>
        </is>
      </c>
      <c r="E8" s="138" t="inlineStr">
        <is>
          <t>Pressure</t>
        </is>
      </c>
      <c r="F8" s="139" t="inlineStr">
        <is>
          <t>Assessment</t>
        </is>
      </c>
    </row>
    <row r="9" ht="20" customHeight="1">
      <c r="B9" s="140" t="inlineStr">
        <is>
          <t>2026-02-01</t>
        </is>
      </c>
      <c r="C9" s="141" t="n">
        <v>52.4</v>
      </c>
      <c r="D9" s="142" t="inlineStr">
        <is>
          <t>◆  STABLE</t>
        </is>
      </c>
      <c r="E9" s="142" t="inlineStr">
        <is>
          <t>NEUTRAL</t>
        </is>
      </c>
      <c r="F9" s="143" t="inlineStr">
        <is>
          <t>Moderate manufacturing expansion — reading between 50 and 56</t>
        </is>
      </c>
    </row>
    <row r="10" ht="16" customHeight="1"/>
    <row r="12" ht="32" customHeight="1">
      <c r="A12" s="135" t="inlineStr">
        <is>
          <t xml:space="preserve">  ISM NON-MANUFACTURING PMI</t>
        </is>
      </c>
      <c r="B12" s="2" t="n"/>
      <c r="C12" s="2" t="n"/>
      <c r="D12" s="2" t="n"/>
      <c r="E12" s="2" t="n"/>
      <c r="F12" s="3" t="n"/>
    </row>
    <row r="13" ht="30" customHeight="1">
      <c r="B13" s="144" t="n">
        <v>56.1</v>
      </c>
      <c r="C13" s="57" t="n"/>
      <c r="D13" s="105" t="inlineStr">
        <is>
          <t>EXPANSIONARY</t>
        </is>
      </c>
      <c r="E13" s="137" t="inlineStr">
        <is>
          <t>Economic Impact</t>
        </is>
      </c>
      <c r="F13" s="32" t="inlineStr">
        <is>
          <t>Strong services expansion — reading above 56</t>
        </is>
      </c>
    </row>
    <row r="14" ht="30" customHeight="1">
      <c r="B14" s="84" t="n"/>
      <c r="C14" s="74" t="n"/>
      <c r="D14" s="85" t="n"/>
      <c r="E14" s="137" t="inlineStr">
        <is>
          <t>Likely Policy Response</t>
        </is>
      </c>
      <c r="F14" s="23" t="inlineStr">
        <is>
          <t>Contractionary  —  Hike rates / QT</t>
        </is>
      </c>
    </row>
    <row r="15" ht="22" customHeight="1">
      <c r="B15" s="86" t="inlineStr">
        <is>
          <t xml:space="preserve">  Thresholds  |  &gt;56 Strong  |  50–56 Moderate  |  &lt;50 Contraction</t>
        </is>
      </c>
      <c r="C15" s="2" t="n"/>
      <c r="D15" s="2" t="n"/>
      <c r="E15" s="2" t="n"/>
      <c r="F15" s="3" t="n"/>
    </row>
    <row r="16" ht="22" customHeight="1">
      <c r="B16" s="138" t="inlineStr">
        <is>
          <t>Date</t>
        </is>
      </c>
      <c r="C16" s="138" t="inlineStr">
        <is>
          <t>Value</t>
        </is>
      </c>
      <c r="D16" s="138" t="inlineStr">
        <is>
          <t>Signal</t>
        </is>
      </c>
      <c r="E16" s="138" t="inlineStr">
        <is>
          <t>Pressure</t>
        </is>
      </c>
      <c r="F16" s="139" t="inlineStr">
        <is>
          <t>Assessment</t>
        </is>
      </c>
    </row>
    <row r="17" ht="20" customHeight="1">
      <c r="B17" s="140" t="inlineStr">
        <is>
          <t>2026-02-01</t>
        </is>
      </c>
      <c r="C17" s="141" t="n">
        <v>56.1</v>
      </c>
      <c r="D17" s="145" t="inlineStr">
        <is>
          <t>▲  GROWTH</t>
        </is>
      </c>
      <c r="E17" s="145" t="inlineStr">
        <is>
          <t>EXPANSIONARY</t>
        </is>
      </c>
      <c r="F17" s="143" t="inlineStr">
        <is>
          <t>Strong services expansion — reading above 56</t>
        </is>
      </c>
    </row>
    <row r="18" ht="16" customHeight="1"/>
    <row r="20" ht="32" customHeight="1">
      <c r="A20" s="135" t="inlineStr">
        <is>
          <t xml:space="preserve">  CHICAGO PMI  (REGIONAL)</t>
        </is>
      </c>
      <c r="B20" s="2" t="n"/>
      <c r="C20" s="2" t="n"/>
      <c r="D20" s="2" t="n"/>
      <c r="E20" s="2" t="n"/>
      <c r="F20" s="3" t="n"/>
    </row>
    <row r="21" ht="30" customHeight="1">
      <c r="B21" s="144" t="n">
        <v>57.7</v>
      </c>
      <c r="C21" s="57" t="n"/>
      <c r="D21" s="105" t="inlineStr">
        <is>
          <t>EXPANSIONARY</t>
        </is>
      </c>
      <c r="E21" s="137" t="inlineStr">
        <is>
          <t>Economic Impact</t>
        </is>
      </c>
      <c r="F21" s="32" t="inlineStr">
        <is>
          <t>Strong Chicago-area business activity — reading above 56</t>
        </is>
      </c>
    </row>
    <row r="22" ht="30" customHeight="1">
      <c r="B22" s="84" t="n"/>
      <c r="C22" s="74" t="n"/>
      <c r="D22" s="85" t="n"/>
      <c r="E22" s="137" t="inlineStr">
        <is>
          <t>Likely Policy Response</t>
        </is>
      </c>
      <c r="F22" s="23" t="inlineStr">
        <is>
          <t>Contractionary  —  Hike rates / QT</t>
        </is>
      </c>
    </row>
    <row r="23" ht="22" customHeight="1">
      <c r="B23" s="86" t="inlineStr">
        <is>
          <t xml:space="preserve">  Thresholds  |  &gt;56 Strong  |  50–56 Moderate  |  &lt;50 Contraction</t>
        </is>
      </c>
      <c r="C23" s="2" t="n"/>
      <c r="D23" s="2" t="n"/>
      <c r="E23" s="2" t="n"/>
      <c r="F23" s="3" t="n"/>
    </row>
    <row r="24" ht="22" customHeight="1">
      <c r="B24" s="138" t="inlineStr">
        <is>
          <t>Date</t>
        </is>
      </c>
      <c r="C24" s="138" t="inlineStr">
        <is>
          <t>Value</t>
        </is>
      </c>
      <c r="D24" s="138" t="inlineStr">
        <is>
          <t>Signal</t>
        </is>
      </c>
      <c r="E24" s="138" t="inlineStr">
        <is>
          <t>Pressure</t>
        </is>
      </c>
      <c r="F24" s="139" t="inlineStr">
        <is>
          <t>Assessment</t>
        </is>
      </c>
    </row>
    <row r="25" ht="20" customHeight="1">
      <c r="B25" s="140" t="inlineStr">
        <is>
          <t>2026-02-01</t>
        </is>
      </c>
      <c r="C25" s="141" t="n">
        <v>57.7</v>
      </c>
      <c r="D25" s="145" t="inlineStr">
        <is>
          <t>▲  GROWTH</t>
        </is>
      </c>
      <c r="E25" s="145" t="inlineStr">
        <is>
          <t>EXPANSIONARY</t>
        </is>
      </c>
      <c r="F25" s="143" t="inlineStr">
        <is>
          <t>Strong Chicago-area business activity — reading above 56</t>
        </is>
      </c>
    </row>
    <row r="26" ht="16" customHeight="1"/>
    <row r="28" ht="32" customHeight="1">
      <c r="A28" s="135" t="inlineStr">
        <is>
          <t xml:space="preserve">  CONSUMER SENTIMENT (UOM)</t>
        </is>
      </c>
      <c r="B28" s="2" t="n"/>
      <c r="C28" s="2" t="n"/>
      <c r="D28" s="2" t="n"/>
      <c r="E28" s="2" t="n"/>
      <c r="F28" s="3" t="n"/>
    </row>
    <row r="29" ht="30" customHeight="1">
      <c r="B29" s="146" t="n">
        <v>56.6</v>
      </c>
      <c r="C29" s="57" t="n"/>
      <c r="D29" s="114" t="inlineStr">
        <is>
          <t>CONTRACTIONARY</t>
        </is>
      </c>
      <c r="E29" s="137" t="inlineStr">
        <is>
          <t>Economic Impact</t>
        </is>
      </c>
      <c r="F29" s="32" t="inlineStr">
        <is>
          <t>Consumer sentiment depressed — households stressed, spending at risk</t>
        </is>
      </c>
    </row>
    <row r="30" ht="30" customHeight="1">
      <c r="B30" s="84" t="n"/>
      <c r="C30" s="74" t="n"/>
      <c r="D30" s="85" t="n"/>
      <c r="E30" s="137" t="inlineStr">
        <is>
          <t>Likely Policy Response</t>
        </is>
      </c>
      <c r="F30" s="23" t="inlineStr">
        <is>
          <t>Expansionary  —  Cut rates / QE</t>
        </is>
      </c>
    </row>
    <row r="31" ht="22" customHeight="1">
      <c r="B31" s="86" t="inlineStr">
        <is>
          <t xml:space="preserve">  Thresholds  |  &gt;90 High  |  65–90 Moderate  |  &lt;65 Low</t>
        </is>
      </c>
      <c r="C31" s="2" t="n"/>
      <c r="D31" s="2" t="n"/>
      <c r="E31" s="2" t="n"/>
      <c r="F31" s="3" t="n"/>
    </row>
    <row r="32" ht="22" customHeight="1">
      <c r="B32" s="138" t="inlineStr">
        <is>
          <t>Date</t>
        </is>
      </c>
      <c r="C32" s="138" t="inlineStr">
        <is>
          <t>Value</t>
        </is>
      </c>
      <c r="D32" s="138" t="inlineStr">
        <is>
          <t>Signal</t>
        </is>
      </c>
      <c r="E32" s="138" t="inlineStr">
        <is>
          <t>Pressure</t>
        </is>
      </c>
      <c r="F32" s="139" t="inlineStr">
        <is>
          <t>Assessment</t>
        </is>
      </c>
    </row>
    <row r="33" ht="20" customHeight="1">
      <c r="B33" s="89" t="inlineStr">
        <is>
          <t>2026-02-01</t>
        </is>
      </c>
      <c r="C33" s="147" t="n">
        <v>56.6</v>
      </c>
      <c r="D33" s="116" t="inlineStr">
        <is>
          <t>▼  CAUTION</t>
        </is>
      </c>
      <c r="E33" s="116" t="inlineStr">
        <is>
          <t>CONTRACTIONARY</t>
        </is>
      </c>
      <c r="F33" s="92" t="inlineStr">
        <is>
          <t>Consumer sentiment depressed — households stressed, spending at risk</t>
        </is>
      </c>
    </row>
    <row r="34" ht="20" customHeight="1">
      <c r="B34" s="93" t="inlineStr">
        <is>
          <t>2026-01-01</t>
        </is>
      </c>
      <c r="C34" s="148" t="n">
        <v>56.4</v>
      </c>
      <c r="D34" s="119" t="inlineStr">
        <is>
          <t>▼  CAUTION</t>
        </is>
      </c>
      <c r="E34" s="119" t="inlineStr">
        <is>
          <t>CONTRACTIONARY</t>
        </is>
      </c>
      <c r="F34" s="96" t="inlineStr">
        <is>
          <t>Consumer sentiment depressed — households stressed, spending at risk</t>
        </is>
      </c>
    </row>
    <row r="35" ht="20" customHeight="1">
      <c r="B35" s="97" t="inlineStr">
        <is>
          <t>2025-12-01</t>
        </is>
      </c>
      <c r="C35" s="149" t="n">
        <v>52.9</v>
      </c>
      <c r="D35" s="119" t="inlineStr">
        <is>
          <t>▼  CAUTION</t>
        </is>
      </c>
      <c r="E35" s="119" t="inlineStr">
        <is>
          <t>CONTRACTIONARY</t>
        </is>
      </c>
      <c r="F35" s="99" t="inlineStr">
        <is>
          <t>Consumer sentiment depressed — households stressed, spending at risk</t>
        </is>
      </c>
    </row>
    <row r="36" ht="20" customHeight="1">
      <c r="B36" s="93" t="inlineStr">
        <is>
          <t>2025-11-01</t>
        </is>
      </c>
      <c r="C36" s="148" t="n">
        <v>51</v>
      </c>
      <c r="D36" s="119" t="inlineStr">
        <is>
          <t>▼  CAUTION</t>
        </is>
      </c>
      <c r="E36" s="119" t="inlineStr">
        <is>
          <t>CONTRACTIONARY</t>
        </is>
      </c>
      <c r="F36" s="96" t="inlineStr">
        <is>
          <t>Consumer sentiment depressed — households stressed, spending at risk</t>
        </is>
      </c>
    </row>
    <row r="37" ht="20" customHeight="1">
      <c r="B37" s="97" t="inlineStr">
        <is>
          <t>2025-10-01</t>
        </is>
      </c>
      <c r="C37" s="149" t="n">
        <v>53.6</v>
      </c>
      <c r="D37" s="119" t="inlineStr">
        <is>
          <t>▼  CAUTION</t>
        </is>
      </c>
      <c r="E37" s="119" t="inlineStr">
        <is>
          <t>CONTRACTIONARY</t>
        </is>
      </c>
      <c r="F37" s="99" t="inlineStr">
        <is>
          <t>Consumer sentiment depressed — households stressed, spending at risk</t>
        </is>
      </c>
    </row>
    <row r="38" ht="20" customHeight="1">
      <c r="B38" s="93" t="inlineStr">
        <is>
          <t>2025-09-01</t>
        </is>
      </c>
      <c r="C38" s="148" t="n">
        <v>55.1</v>
      </c>
      <c r="D38" s="119" t="inlineStr">
        <is>
          <t>▼  CAUTION</t>
        </is>
      </c>
      <c r="E38" s="119" t="inlineStr">
        <is>
          <t>CONTRACTIONARY</t>
        </is>
      </c>
      <c r="F38" s="96" t="inlineStr">
        <is>
          <t>Consumer sentiment depressed — households stressed, spending at risk</t>
        </is>
      </c>
    </row>
    <row r="39" ht="20" customHeight="1">
      <c r="B39" s="97" t="inlineStr">
        <is>
          <t>2025-08-01</t>
        </is>
      </c>
      <c r="C39" s="149" t="n">
        <v>58.2</v>
      </c>
      <c r="D39" s="119" t="inlineStr">
        <is>
          <t>▼  CAUTION</t>
        </is>
      </c>
      <c r="E39" s="119" t="inlineStr">
        <is>
          <t>CONTRACTIONARY</t>
        </is>
      </c>
      <c r="F39" s="99" t="inlineStr">
        <is>
          <t>Consumer sentiment depressed — households stressed, spending at risk</t>
        </is>
      </c>
    </row>
    <row r="40" ht="20" customHeight="1">
      <c r="B40" s="93" t="inlineStr">
        <is>
          <t>2025-07-01</t>
        </is>
      </c>
      <c r="C40" s="148" t="n">
        <v>61.7</v>
      </c>
      <c r="D40" s="119" t="inlineStr">
        <is>
          <t>▼  CAUTION</t>
        </is>
      </c>
      <c r="E40" s="119" t="inlineStr">
        <is>
          <t>CONTRACTIONARY</t>
        </is>
      </c>
      <c r="F40" s="96" t="inlineStr">
        <is>
          <t>Consumer sentiment depressed — households stressed, spending at risk</t>
        </is>
      </c>
    </row>
    <row r="41" ht="20" customHeight="1">
      <c r="B41" s="97" t="inlineStr">
        <is>
          <t>2025-06-01</t>
        </is>
      </c>
      <c r="C41" s="149" t="n">
        <v>60.7</v>
      </c>
      <c r="D41" s="119" t="inlineStr">
        <is>
          <t>▼  CAUTION</t>
        </is>
      </c>
      <c r="E41" s="119" t="inlineStr">
        <is>
          <t>CONTRACTIONARY</t>
        </is>
      </c>
      <c r="F41" s="99" t="inlineStr">
        <is>
          <t>Consumer sentiment depressed — households stressed, spending at risk</t>
        </is>
      </c>
    </row>
    <row r="42" ht="20" customHeight="1">
      <c r="B42" s="93" t="inlineStr">
        <is>
          <t>2025-05-01</t>
        </is>
      </c>
      <c r="C42" s="148" t="n">
        <v>52.2</v>
      </c>
      <c r="D42" s="119" t="inlineStr">
        <is>
          <t>▼  CAUTION</t>
        </is>
      </c>
      <c r="E42" s="119" t="inlineStr">
        <is>
          <t>CONTRACTIONARY</t>
        </is>
      </c>
      <c r="F42" s="96" t="inlineStr">
        <is>
          <t>Consumer sentiment depressed — households stressed, spending at risk</t>
        </is>
      </c>
    </row>
    <row r="43" ht="20" customHeight="1">
      <c r="B43" s="97" t="inlineStr">
        <is>
          <t>2025-04-01</t>
        </is>
      </c>
      <c r="C43" s="149" t="n">
        <v>52.2</v>
      </c>
      <c r="D43" s="119" t="inlineStr">
        <is>
          <t>▼  CAUTION</t>
        </is>
      </c>
      <c r="E43" s="119" t="inlineStr">
        <is>
          <t>CONTRACTIONARY</t>
        </is>
      </c>
      <c r="F43" s="99" t="inlineStr">
        <is>
          <t>Consumer sentiment depressed — households stressed, spending at risk</t>
        </is>
      </c>
    </row>
    <row r="44" ht="20" customHeight="1">
      <c r="B44" s="100" t="inlineStr">
        <is>
          <t>2025-03-01</t>
        </is>
      </c>
      <c r="C44" s="150" t="n">
        <v>57</v>
      </c>
      <c r="D44" s="132" t="inlineStr">
        <is>
          <t>▼  CAUTION</t>
        </is>
      </c>
      <c r="E44" s="132" t="inlineStr">
        <is>
          <t>CONTRACTIONARY</t>
        </is>
      </c>
      <c r="F44" s="103" t="inlineStr">
        <is>
          <t>Consumer sentiment depressed — households stressed, spending at risk</t>
        </is>
      </c>
    </row>
    <row r="45" ht="16" customHeight="1"/>
    <row r="47" ht="12" customHeight="1"/>
    <row r="48" ht="34" customHeight="1">
      <c r="A48" s="121" t="inlineStr">
        <is>
          <t xml:space="preserve">  HISTORICAL TREND CHARTS  —  Last 24 Months  (PMI series)  |  Last 12 Months  (FRED series)</t>
        </is>
      </c>
      <c r="B48" s="2" t="n"/>
      <c r="C48" s="2" t="n"/>
      <c r="D48" s="2" t="n"/>
      <c r="E48" s="2" t="n"/>
      <c r="F48" s="3" t="n"/>
    </row>
  </sheetData>
  <mergeCells count="19">
    <mergeCell ref="B13:C14"/>
    <mergeCell ref="B7:F7"/>
    <mergeCell ref="D21:D22"/>
    <mergeCell ref="B31:F31"/>
    <mergeCell ref="A12:F12"/>
    <mergeCell ref="A2:F2"/>
    <mergeCell ref="D13:D14"/>
    <mergeCell ref="B5:C6"/>
    <mergeCell ref="B23:F23"/>
    <mergeCell ref="A4:F4"/>
    <mergeCell ref="A20:F20"/>
    <mergeCell ref="A28:F28"/>
    <mergeCell ref="B21:C22"/>
    <mergeCell ref="A48:F48"/>
    <mergeCell ref="D29:D30"/>
    <mergeCell ref="D5:D6"/>
    <mergeCell ref="B15:F15"/>
    <mergeCell ref="A1:F1"/>
    <mergeCell ref="B29:C30"/>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48F77"/>
    <outlinePr summaryBelow="1" summaryRight="1"/>
    <pageSetUpPr/>
  </sheetPr>
  <dimension ref="A1:F176"/>
  <sheetViews>
    <sheetView showGridLines="0" workbookViewId="0">
      <pane ySplit="3" topLeftCell="A4" activePane="bottomLeft" state="frozen"/>
      <selection pane="bottomLeft" activeCell="A1" sqref="A1"/>
    </sheetView>
  </sheetViews>
  <sheetFormatPr baseColWidth="8" defaultRowHeight="15"/>
  <cols>
    <col width="2" customWidth="1" min="1" max="1"/>
    <col width="26" customWidth="1" min="2" max="2"/>
    <col width="16" customWidth="1" min="3" max="3"/>
    <col width="24" customWidth="1" min="4" max="4"/>
    <col width="22" customWidth="1" min="5" max="5"/>
    <col width="58" customWidth="1" min="6" max="6"/>
  </cols>
  <sheetData>
    <row r="1" ht="44" customHeight="1">
      <c r="A1" s="151" t="inlineStr">
        <is>
          <t xml:space="preserve">  LEADING INDICATORS   —   US ECONOMIC INDICATORS</t>
        </is>
      </c>
      <c r="B1" s="2" t="n"/>
      <c r="C1" s="2" t="n"/>
      <c r="D1" s="2" t="n"/>
      <c r="E1" s="2" t="n"/>
      <c r="F1" s="3" t="n"/>
    </row>
    <row r="2" ht="18" customHeight="1">
      <c r="A2" s="4" t="inlineStr">
        <is>
          <t xml:space="preserve">  Refreshed 01 April 2026, 17:56     |     Source: FRED API  |  ISM &amp; Chicago PMI: Auto-extracted from PDF Reports</t>
        </is>
      </c>
      <c r="B2" s="2" t="n"/>
      <c r="C2" s="2" t="n"/>
      <c r="D2" s="2" t="n"/>
      <c r="E2" s="2" t="n"/>
      <c r="F2" s="3" t="n"/>
    </row>
    <row r="3" ht="10" customHeight="1"/>
    <row r="4" ht="32" customHeight="1">
      <c r="A4" s="152" t="inlineStr">
        <is>
          <t xml:space="preserve">  HY CREDIT SPREAD (OAS %)</t>
        </is>
      </c>
      <c r="B4" s="2" t="n"/>
      <c r="C4" s="2" t="n"/>
      <c r="D4" s="2" t="n"/>
      <c r="E4" s="2" t="n"/>
      <c r="F4" s="3" t="n"/>
    </row>
    <row r="5" ht="30" customHeight="1">
      <c r="B5" s="153" t="n">
        <v>3.1873</v>
      </c>
      <c r="C5" s="57" t="n"/>
      <c r="D5" s="105" t="inlineStr">
        <is>
          <t>EXPANSIONARY</t>
        </is>
      </c>
      <c r="E5" s="154" t="inlineStr">
        <is>
          <t>Economic Impact</t>
        </is>
      </c>
      <c r="F5" s="32" t="inlineStr">
        <is>
          <t>HY spreads tight — strong risk appetite, credit freely available</t>
        </is>
      </c>
    </row>
    <row r="6" ht="30" customHeight="1">
      <c r="B6" s="84" t="n"/>
      <c r="C6" s="74" t="n"/>
      <c r="D6" s="85" t="n"/>
      <c r="E6" s="154" t="inlineStr">
        <is>
          <t>Likely Policy Response</t>
        </is>
      </c>
      <c r="F6" s="23" t="inlineStr">
        <is>
          <t>Contractionary  —  Hike rates / QT</t>
        </is>
      </c>
    </row>
    <row r="7" ht="22" customHeight="1">
      <c r="B7" s="86" t="inlineStr">
        <is>
          <t xml:space="preserve">  Thresholds  |  &gt;5.0% Stress  |  3.5–5.0% Normal  |  &lt;3.5% Tight</t>
        </is>
      </c>
      <c r="C7" s="2" t="n"/>
      <c r="D7" s="2" t="n"/>
      <c r="E7" s="2" t="n"/>
      <c r="F7" s="3" t="n"/>
    </row>
    <row r="8" ht="22" customHeight="1">
      <c r="B8" s="155" t="inlineStr">
        <is>
          <t>Date</t>
        </is>
      </c>
      <c r="C8" s="155" t="inlineStr">
        <is>
          <t>Value</t>
        </is>
      </c>
      <c r="D8" s="155" t="inlineStr">
        <is>
          <t>Signal</t>
        </is>
      </c>
      <c r="E8" s="155" t="inlineStr">
        <is>
          <t>Pressure</t>
        </is>
      </c>
      <c r="F8" s="156" t="inlineStr">
        <is>
          <t>Assessment</t>
        </is>
      </c>
    </row>
    <row r="9" ht="20" customHeight="1">
      <c r="B9" s="89" t="inlineStr">
        <is>
          <t>2026-03-01</t>
        </is>
      </c>
      <c r="C9" s="128" t="n">
        <v>3.1873</v>
      </c>
      <c r="D9" s="107" t="inlineStr">
        <is>
          <t>▲  GROWTH</t>
        </is>
      </c>
      <c r="E9" s="107" t="inlineStr">
        <is>
          <t>EXPANSIONARY</t>
        </is>
      </c>
      <c r="F9" s="92" t="inlineStr">
        <is>
          <t>HY spreads tight — strong risk appetite, credit freely available</t>
        </is>
      </c>
    </row>
    <row r="10" ht="20" customHeight="1">
      <c r="B10" s="93" t="inlineStr">
        <is>
          <t>2026-02-01</t>
        </is>
      </c>
      <c r="C10" s="129" t="n">
        <v>2.9195</v>
      </c>
      <c r="D10" s="109" t="inlineStr">
        <is>
          <t>▲  GROWTH</t>
        </is>
      </c>
      <c r="E10" s="109" t="inlineStr">
        <is>
          <t>EXPANSIONARY</t>
        </is>
      </c>
      <c r="F10" s="96" t="inlineStr">
        <is>
          <t>HY spreads tight — strong risk appetite, credit freely available</t>
        </is>
      </c>
    </row>
    <row r="11" ht="20" customHeight="1">
      <c r="B11" s="97" t="inlineStr">
        <is>
          <t>2026-01-01</t>
        </is>
      </c>
      <c r="C11" s="130" t="n">
        <v>2.7405</v>
      </c>
      <c r="D11" s="109" t="inlineStr">
        <is>
          <t>▲  GROWTH</t>
        </is>
      </c>
      <c r="E11" s="109" t="inlineStr">
        <is>
          <t>EXPANSIONARY</t>
        </is>
      </c>
      <c r="F11" s="99" t="inlineStr">
        <is>
          <t>HY spreads tight — strong risk appetite, credit freely available</t>
        </is>
      </c>
    </row>
    <row r="12" ht="20" customHeight="1">
      <c r="B12" s="93" t="inlineStr">
        <is>
          <t>2025-12-01</t>
        </is>
      </c>
      <c r="C12" s="129" t="n">
        <v>2.8918</v>
      </c>
      <c r="D12" s="109" t="inlineStr">
        <is>
          <t>▲  GROWTH</t>
        </is>
      </c>
      <c r="E12" s="109" t="inlineStr">
        <is>
          <t>EXPANSIONARY</t>
        </is>
      </c>
      <c r="F12" s="96" t="inlineStr">
        <is>
          <t>HY spreads tight — strong risk appetite, credit freely available</t>
        </is>
      </c>
    </row>
    <row r="13" ht="20" customHeight="1">
      <c r="B13" s="97" t="inlineStr">
        <is>
          <t>2025-11-01</t>
        </is>
      </c>
      <c r="C13" s="130" t="n">
        <v>3.081</v>
      </c>
      <c r="D13" s="109" t="inlineStr">
        <is>
          <t>▲  GROWTH</t>
        </is>
      </c>
      <c r="E13" s="109" t="inlineStr">
        <is>
          <t>EXPANSIONARY</t>
        </is>
      </c>
      <c r="F13" s="99" t="inlineStr">
        <is>
          <t>HY spreads tight — strong risk appetite, credit freely available</t>
        </is>
      </c>
    </row>
    <row r="14" ht="20" customHeight="1">
      <c r="B14" s="93" t="inlineStr">
        <is>
          <t>2025-10-01</t>
        </is>
      </c>
      <c r="C14" s="129" t="n">
        <v>2.9248</v>
      </c>
      <c r="D14" s="109" t="inlineStr">
        <is>
          <t>▲  GROWTH</t>
        </is>
      </c>
      <c r="E14" s="109" t="inlineStr">
        <is>
          <t>EXPANSIONARY</t>
        </is>
      </c>
      <c r="F14" s="96" t="inlineStr">
        <is>
          <t>HY spreads tight — strong risk appetite, credit freely available</t>
        </is>
      </c>
    </row>
    <row r="15" ht="20" customHeight="1">
      <c r="B15" s="97" t="inlineStr">
        <is>
          <t>2025-09-01</t>
        </is>
      </c>
      <c r="C15" s="130" t="n">
        <v>2.7882</v>
      </c>
      <c r="D15" s="109" t="inlineStr">
        <is>
          <t>▲  GROWTH</t>
        </is>
      </c>
      <c r="E15" s="109" t="inlineStr">
        <is>
          <t>EXPANSIONARY</t>
        </is>
      </c>
      <c r="F15" s="99" t="inlineStr">
        <is>
          <t>HY spreads tight — strong risk appetite, credit freely available</t>
        </is>
      </c>
    </row>
    <row r="16" ht="20" customHeight="1">
      <c r="B16" s="93" t="inlineStr">
        <is>
          <t>2025-08-01</t>
        </is>
      </c>
      <c r="C16" s="129" t="n">
        <v>2.9027</v>
      </c>
      <c r="D16" s="109" t="inlineStr">
        <is>
          <t>▲  GROWTH</t>
        </is>
      </c>
      <c r="E16" s="109" t="inlineStr">
        <is>
          <t>EXPANSIONARY</t>
        </is>
      </c>
      <c r="F16" s="96" t="inlineStr">
        <is>
          <t>HY spreads tight — strong risk appetite, credit freely available</t>
        </is>
      </c>
    </row>
    <row r="17" ht="20" customHeight="1">
      <c r="B17" s="97" t="inlineStr">
        <is>
          <t>2025-07-01</t>
        </is>
      </c>
      <c r="C17" s="130" t="n">
        <v>2.8891</v>
      </c>
      <c r="D17" s="109" t="inlineStr">
        <is>
          <t>▲  GROWTH</t>
        </is>
      </c>
      <c r="E17" s="109" t="inlineStr">
        <is>
          <t>EXPANSIONARY</t>
        </is>
      </c>
      <c r="F17" s="99" t="inlineStr">
        <is>
          <t>HY spreads tight — strong risk appetite, credit freely available</t>
        </is>
      </c>
    </row>
    <row r="18" ht="20" customHeight="1">
      <c r="B18" s="93" t="inlineStr">
        <is>
          <t>2025-06-01</t>
        </is>
      </c>
      <c r="C18" s="129" t="n">
        <v>3.1252</v>
      </c>
      <c r="D18" s="109" t="inlineStr">
        <is>
          <t>▲  GROWTH</t>
        </is>
      </c>
      <c r="E18" s="109" t="inlineStr">
        <is>
          <t>EXPANSIONARY</t>
        </is>
      </c>
      <c r="F18" s="96" t="inlineStr">
        <is>
          <t>HY spreads tight — strong risk appetite, credit freely available</t>
        </is>
      </c>
    </row>
    <row r="19" ht="20" customHeight="1">
      <c r="B19" s="97" t="inlineStr">
        <is>
          <t>2025-05-01</t>
        </is>
      </c>
      <c r="C19" s="130" t="n">
        <v>3.3543</v>
      </c>
      <c r="D19" s="109" t="inlineStr">
        <is>
          <t>▲  GROWTH</t>
        </is>
      </c>
      <c r="E19" s="109" t="inlineStr">
        <is>
          <t>EXPANSIONARY</t>
        </is>
      </c>
      <c r="F19" s="99" t="inlineStr">
        <is>
          <t>HY spreads tight — strong risk appetite, credit freely available</t>
        </is>
      </c>
    </row>
    <row r="20" ht="20" customHeight="1">
      <c r="B20" s="100" t="inlineStr">
        <is>
          <t>2025-04-01</t>
        </is>
      </c>
      <c r="C20" s="131" t="n">
        <v>4.0348</v>
      </c>
      <c r="D20" s="102" t="inlineStr">
        <is>
          <t>◆  STABLE</t>
        </is>
      </c>
      <c r="E20" s="102" t="inlineStr">
        <is>
          <t>NEUTRAL</t>
        </is>
      </c>
      <c r="F20" s="103" t="inlineStr">
        <is>
          <t>HY spreads within the normal 350–500bp range</t>
        </is>
      </c>
    </row>
    <row r="21" ht="16" customHeight="1"/>
    <row r="23" ht="32" customHeight="1">
      <c r="A23" s="152" t="inlineStr">
        <is>
          <t xml:space="preserve">  IG CREDIT SPREAD (OAS %)</t>
        </is>
      </c>
      <c r="B23" s="2" t="n"/>
      <c r="C23" s="2" t="n"/>
      <c r="D23" s="2" t="n"/>
      <c r="E23" s="2" t="n"/>
      <c r="F23" s="3" t="n"/>
    </row>
    <row r="24" ht="30" customHeight="1">
      <c r="B24" s="153" t="n">
        <v>0.8804999999999999</v>
      </c>
      <c r="C24" s="57" t="n"/>
      <c r="D24" s="105" t="inlineStr">
        <is>
          <t>EXPANSIONARY</t>
        </is>
      </c>
      <c r="E24" s="154" t="inlineStr">
        <is>
          <t>Economic Impact</t>
        </is>
      </c>
      <c r="F24" s="32" t="inlineStr">
        <is>
          <t>IG spreads tight — benign credit conditions</t>
        </is>
      </c>
    </row>
    <row r="25" ht="30" customHeight="1">
      <c r="B25" s="84" t="n"/>
      <c r="C25" s="74" t="n"/>
      <c r="D25" s="85" t="n"/>
      <c r="E25" s="154" t="inlineStr">
        <is>
          <t>Likely Policy Response</t>
        </is>
      </c>
      <c r="F25" s="23" t="inlineStr">
        <is>
          <t>Contractionary  —  Hike rates / QT</t>
        </is>
      </c>
    </row>
    <row r="26" ht="22" customHeight="1">
      <c r="B26" s="86" t="inlineStr">
        <is>
          <t xml:space="preserve">  Thresholds  |  &gt;1.5% Stress  |  1.0–1.5% Normal  |  &lt;1.0% Benign</t>
        </is>
      </c>
      <c r="C26" s="2" t="n"/>
      <c r="D26" s="2" t="n"/>
      <c r="E26" s="2" t="n"/>
      <c r="F26" s="3" t="n"/>
    </row>
    <row r="27" ht="22" customHeight="1">
      <c r="B27" s="155" t="inlineStr">
        <is>
          <t>Date</t>
        </is>
      </c>
      <c r="C27" s="155" t="inlineStr">
        <is>
          <t>Value</t>
        </is>
      </c>
      <c r="D27" s="155" t="inlineStr">
        <is>
          <t>Signal</t>
        </is>
      </c>
      <c r="E27" s="155" t="inlineStr">
        <is>
          <t>Pressure</t>
        </is>
      </c>
      <c r="F27" s="156" t="inlineStr">
        <is>
          <t>Assessment</t>
        </is>
      </c>
    </row>
    <row r="28" ht="20" customHeight="1">
      <c r="B28" s="89" t="inlineStr">
        <is>
          <t>2026-03-01</t>
        </is>
      </c>
      <c r="C28" s="128" t="n">
        <v>0.8804999999999999</v>
      </c>
      <c r="D28" s="107" t="inlineStr">
        <is>
          <t>▲  GROWTH</t>
        </is>
      </c>
      <c r="E28" s="107" t="inlineStr">
        <is>
          <t>EXPANSIONARY</t>
        </is>
      </c>
      <c r="F28" s="92" t="inlineStr">
        <is>
          <t>IG spreads tight — benign credit conditions</t>
        </is>
      </c>
    </row>
    <row r="29" ht="20" customHeight="1">
      <c r="B29" s="93" t="inlineStr">
        <is>
          <t>2026-02-01</t>
        </is>
      </c>
      <c r="C29" s="129" t="n">
        <v>0.7857</v>
      </c>
      <c r="D29" s="109" t="inlineStr">
        <is>
          <t>▲  GROWTH</t>
        </is>
      </c>
      <c r="E29" s="109" t="inlineStr">
        <is>
          <t>EXPANSIONARY</t>
        </is>
      </c>
      <c r="F29" s="96" t="inlineStr">
        <is>
          <t>IG spreads tight — benign credit conditions</t>
        </is>
      </c>
    </row>
    <row r="30" ht="20" customHeight="1">
      <c r="B30" s="97" t="inlineStr">
        <is>
          <t>2026-01-01</t>
        </is>
      </c>
      <c r="C30" s="130" t="n">
        <v>0.7586000000000001</v>
      </c>
      <c r="D30" s="109" t="inlineStr">
        <is>
          <t>▲  GROWTH</t>
        </is>
      </c>
      <c r="E30" s="109" t="inlineStr">
        <is>
          <t>EXPANSIONARY</t>
        </is>
      </c>
      <c r="F30" s="99" t="inlineStr">
        <is>
          <t>IG spreads tight — benign credit conditions</t>
        </is>
      </c>
    </row>
    <row r="31" ht="20" customHeight="1">
      <c r="B31" s="93" t="inlineStr">
        <is>
          <t>2025-12-01</t>
        </is>
      </c>
      <c r="C31" s="129" t="n">
        <v>0.7968</v>
      </c>
      <c r="D31" s="109" t="inlineStr">
        <is>
          <t>▲  GROWTH</t>
        </is>
      </c>
      <c r="E31" s="109" t="inlineStr">
        <is>
          <t>EXPANSIONARY</t>
        </is>
      </c>
      <c r="F31" s="96" t="inlineStr">
        <is>
          <t>IG spreads tight — benign credit conditions</t>
        </is>
      </c>
    </row>
    <row r="32" ht="20" customHeight="1">
      <c r="B32" s="97" t="inlineStr">
        <is>
          <t>2025-11-01</t>
        </is>
      </c>
      <c r="C32" s="130" t="n">
        <v>0.8324</v>
      </c>
      <c r="D32" s="109" t="inlineStr">
        <is>
          <t>▲  GROWTH</t>
        </is>
      </c>
      <c r="E32" s="109" t="inlineStr">
        <is>
          <t>EXPANSIONARY</t>
        </is>
      </c>
      <c r="F32" s="99" t="inlineStr">
        <is>
          <t>IG spreads tight — benign credit conditions</t>
        </is>
      </c>
    </row>
    <row r="33" ht="20" customHeight="1">
      <c r="B33" s="93" t="inlineStr">
        <is>
          <t>2025-10-01</t>
        </is>
      </c>
      <c r="C33" s="129" t="n">
        <v>0.7761</v>
      </c>
      <c r="D33" s="109" t="inlineStr">
        <is>
          <t>▲  GROWTH</t>
        </is>
      </c>
      <c r="E33" s="109" t="inlineStr">
        <is>
          <t>EXPANSIONARY</t>
        </is>
      </c>
      <c r="F33" s="96" t="inlineStr">
        <is>
          <t>IG spreads tight — benign credit conditions</t>
        </is>
      </c>
    </row>
    <row r="34" ht="20" customHeight="1">
      <c r="B34" s="97" t="inlineStr">
        <is>
          <t>2025-09-01</t>
        </is>
      </c>
      <c r="C34" s="130" t="n">
        <v>0.7718</v>
      </c>
      <c r="D34" s="109" t="inlineStr">
        <is>
          <t>▲  GROWTH</t>
        </is>
      </c>
      <c r="E34" s="109" t="inlineStr">
        <is>
          <t>EXPANSIONARY</t>
        </is>
      </c>
      <c r="F34" s="99" t="inlineStr">
        <is>
          <t>IG spreads tight — benign credit conditions</t>
        </is>
      </c>
    </row>
    <row r="35" ht="20" customHeight="1">
      <c r="B35" s="93" t="inlineStr">
        <is>
          <t>2025-08-01</t>
        </is>
      </c>
      <c r="C35" s="129" t="n">
        <v>0.7864</v>
      </c>
      <c r="D35" s="109" t="inlineStr">
        <is>
          <t>▲  GROWTH</t>
        </is>
      </c>
      <c r="E35" s="109" t="inlineStr">
        <is>
          <t>EXPANSIONARY</t>
        </is>
      </c>
      <c r="F35" s="96" t="inlineStr">
        <is>
          <t>IG spreads tight — benign credit conditions</t>
        </is>
      </c>
    </row>
    <row r="36" ht="20" customHeight="1">
      <c r="B36" s="97" t="inlineStr">
        <is>
          <t>2025-07-01</t>
        </is>
      </c>
      <c r="C36" s="130" t="n">
        <v>0.8061</v>
      </c>
      <c r="D36" s="109" t="inlineStr">
        <is>
          <t>▲  GROWTH</t>
        </is>
      </c>
      <c r="E36" s="109" t="inlineStr">
        <is>
          <t>EXPANSIONARY</t>
        </is>
      </c>
      <c r="F36" s="99" t="inlineStr">
        <is>
          <t>IG spreads tight — benign credit conditions</t>
        </is>
      </c>
    </row>
    <row r="37" ht="20" customHeight="1">
      <c r="B37" s="93" t="inlineStr">
        <is>
          <t>2025-06-01</t>
        </is>
      </c>
      <c r="C37" s="129" t="n">
        <v>0.8804999999999999</v>
      </c>
      <c r="D37" s="109" t="inlineStr">
        <is>
          <t>▲  GROWTH</t>
        </is>
      </c>
      <c r="E37" s="109" t="inlineStr">
        <is>
          <t>EXPANSIONARY</t>
        </is>
      </c>
      <c r="F37" s="96" t="inlineStr">
        <is>
          <t>IG spreads tight — benign credit conditions</t>
        </is>
      </c>
    </row>
    <row r="38" ht="20" customHeight="1">
      <c r="B38" s="97" t="inlineStr">
        <is>
          <t>2025-05-01</t>
        </is>
      </c>
      <c r="C38" s="130" t="n">
        <v>0.9609</v>
      </c>
      <c r="D38" s="109" t="inlineStr">
        <is>
          <t>▲  GROWTH</t>
        </is>
      </c>
      <c r="E38" s="109" t="inlineStr">
        <is>
          <t>EXPANSIONARY</t>
        </is>
      </c>
      <c r="F38" s="99" t="inlineStr">
        <is>
          <t>IG spreads tight — benign credit conditions</t>
        </is>
      </c>
    </row>
    <row r="39" ht="20" customHeight="1">
      <c r="B39" s="100" t="inlineStr">
        <is>
          <t>2025-04-01</t>
        </is>
      </c>
      <c r="C39" s="131" t="n">
        <v>1.1057</v>
      </c>
      <c r="D39" s="102" t="inlineStr">
        <is>
          <t>◆  STABLE</t>
        </is>
      </c>
      <c r="E39" s="102" t="inlineStr">
        <is>
          <t>NEUTRAL</t>
        </is>
      </c>
      <c r="F39" s="103" t="inlineStr">
        <is>
          <t>IG spreads within the normal 100–150bp range</t>
        </is>
      </c>
    </row>
    <row r="40" ht="16" customHeight="1"/>
    <row r="42" ht="32" customHeight="1">
      <c r="A42" s="152" t="inlineStr">
        <is>
          <t xml:space="preserve">  YIELD CURVE (10Y–3M)</t>
        </is>
      </c>
      <c r="B42" s="2" t="n"/>
      <c r="C42" s="2" t="n"/>
      <c r="D42" s="2" t="n"/>
      <c r="E42" s="2" t="n"/>
      <c r="F42" s="3" t="n"/>
    </row>
    <row r="43" ht="30" customHeight="1">
      <c r="B43" s="157" t="n">
        <v>0.5268</v>
      </c>
      <c r="C43" s="57" t="n"/>
      <c r="D43" s="82" t="inlineStr">
        <is>
          <t>NEUTRAL</t>
        </is>
      </c>
      <c r="E43" s="154" t="inlineStr">
        <is>
          <t>Economic Impact</t>
        </is>
      </c>
      <c r="F43" s="32" t="inlineStr">
        <is>
          <t>Yield curve flat to mildly positive — transition zone</t>
        </is>
      </c>
    </row>
    <row r="44" ht="30" customHeight="1">
      <c r="B44" s="84" t="n"/>
      <c r="C44" s="74" t="n"/>
      <c r="D44" s="85" t="n"/>
      <c r="E44" s="154" t="inlineStr">
        <is>
          <t>Likely Policy Response</t>
        </is>
      </c>
      <c r="F44" s="23" t="inlineStr">
        <is>
          <t>Neutral  —  Hold rates</t>
        </is>
      </c>
    </row>
    <row r="45" ht="22" customHeight="1">
      <c r="B45" s="86" t="inlineStr">
        <is>
          <t xml:space="preserve">  Thresholds  |  &lt;0 Inverted  |  0–1.0 Flat  |  &gt;1.0 Steep</t>
        </is>
      </c>
      <c r="C45" s="2" t="n"/>
      <c r="D45" s="2" t="n"/>
      <c r="E45" s="2" t="n"/>
      <c r="F45" s="3" t="n"/>
    </row>
    <row r="46" ht="22" customHeight="1">
      <c r="B46" s="155" t="inlineStr">
        <is>
          <t>Date</t>
        </is>
      </c>
      <c r="C46" s="155" t="inlineStr">
        <is>
          <t>Value</t>
        </is>
      </c>
      <c r="D46" s="155" t="inlineStr">
        <is>
          <t>Signal</t>
        </is>
      </c>
      <c r="E46" s="155" t="inlineStr">
        <is>
          <t>Pressure</t>
        </is>
      </c>
      <c r="F46" s="156" t="inlineStr">
        <is>
          <t>Assessment</t>
        </is>
      </c>
    </row>
    <row r="47" ht="20" customHeight="1">
      <c r="B47" s="89" t="inlineStr">
        <is>
          <t>2026-03-01</t>
        </is>
      </c>
      <c r="C47" s="158" t="n">
        <v>0.5268</v>
      </c>
      <c r="D47" s="91" t="inlineStr">
        <is>
          <t>◆  STABLE</t>
        </is>
      </c>
      <c r="E47" s="91" t="inlineStr">
        <is>
          <t>NEUTRAL</t>
        </is>
      </c>
      <c r="F47" s="92" t="inlineStr">
        <is>
          <t>Yield curve flat to mildly positive — transition zone</t>
        </is>
      </c>
    </row>
    <row r="48" ht="20" customHeight="1">
      <c r="B48" s="93" t="inlineStr">
        <is>
          <t>2026-02-01</t>
        </is>
      </c>
      <c r="C48" s="159" t="n">
        <v>0.4379</v>
      </c>
      <c r="D48" s="95" t="inlineStr">
        <is>
          <t>◆  STABLE</t>
        </is>
      </c>
      <c r="E48" s="95" t="inlineStr">
        <is>
          <t>NEUTRAL</t>
        </is>
      </c>
      <c r="F48" s="96" t="inlineStr">
        <is>
          <t>Yield curve flat to mildly positive — transition zone</t>
        </is>
      </c>
    </row>
    <row r="49" ht="20" customHeight="1">
      <c r="B49" s="97" t="inlineStr">
        <is>
          <t>2026-01-01</t>
        </is>
      </c>
      <c r="C49" s="160" t="n">
        <v>0.548</v>
      </c>
      <c r="D49" s="95" t="inlineStr">
        <is>
          <t>◆  STABLE</t>
        </is>
      </c>
      <c r="E49" s="95" t="inlineStr">
        <is>
          <t>NEUTRAL</t>
        </is>
      </c>
      <c r="F49" s="99" t="inlineStr">
        <is>
          <t>Yield curve flat to mildly positive — transition zone</t>
        </is>
      </c>
    </row>
    <row r="50" ht="20" customHeight="1">
      <c r="B50" s="93" t="inlineStr">
        <is>
          <t>2025-12-01</t>
        </is>
      </c>
      <c r="C50" s="159" t="n">
        <v>0.4636</v>
      </c>
      <c r="D50" s="95" t="inlineStr">
        <is>
          <t>◆  STABLE</t>
        </is>
      </c>
      <c r="E50" s="95" t="inlineStr">
        <is>
          <t>NEUTRAL</t>
        </is>
      </c>
      <c r="F50" s="96" t="inlineStr">
        <is>
          <t>Yield curve flat to mildly positive — transition zone</t>
        </is>
      </c>
    </row>
    <row r="51" ht="20" customHeight="1">
      <c r="B51" s="97" t="inlineStr">
        <is>
          <t>2025-11-01</t>
        </is>
      </c>
      <c r="C51" s="160" t="n">
        <v>0.1567</v>
      </c>
      <c r="D51" s="95" t="inlineStr">
        <is>
          <t>◆  STABLE</t>
        </is>
      </c>
      <c r="E51" s="95" t="inlineStr">
        <is>
          <t>NEUTRAL</t>
        </is>
      </c>
      <c r="F51" s="99" t="inlineStr">
        <is>
          <t>Yield curve flat to mildly positive — transition zone</t>
        </is>
      </c>
    </row>
    <row r="52" ht="20" customHeight="1">
      <c r="B52" s="93" t="inlineStr">
        <is>
          <t>2025-10-01</t>
        </is>
      </c>
      <c r="C52" s="159" t="n">
        <v>0.08409999999999999</v>
      </c>
      <c r="D52" s="95" t="inlineStr">
        <is>
          <t>◆  STABLE</t>
        </is>
      </c>
      <c r="E52" s="95" t="inlineStr">
        <is>
          <t>NEUTRAL</t>
        </is>
      </c>
      <c r="F52" s="96" t="inlineStr">
        <is>
          <t>Yield curve flat to mildly positive — transition zone</t>
        </is>
      </c>
    </row>
    <row r="53" ht="20" customHeight="1">
      <c r="B53" s="97" t="inlineStr">
        <is>
          <t>2025-09-01</t>
        </is>
      </c>
      <c r="C53" s="160" t="n">
        <v>0.0548</v>
      </c>
      <c r="D53" s="95" t="inlineStr">
        <is>
          <t>◆  STABLE</t>
        </is>
      </c>
      <c r="E53" s="95" t="inlineStr">
        <is>
          <t>NEUTRAL</t>
        </is>
      </c>
      <c r="F53" s="99" t="inlineStr">
        <is>
          <t>Yield curve flat to mildly positive — transition zone</t>
        </is>
      </c>
    </row>
    <row r="54" ht="20" customHeight="1">
      <c r="B54" s="93" t="inlineStr">
        <is>
          <t>2025-08-01</t>
        </is>
      </c>
      <c r="C54" s="159" t="n">
        <v>-0.04</v>
      </c>
      <c r="D54" s="119" t="inlineStr">
        <is>
          <t>▼  CAUTION</t>
        </is>
      </c>
      <c r="E54" s="119" t="inlineStr">
        <is>
          <t>CONTRACTIONARY</t>
        </is>
      </c>
      <c r="F54" s="96" t="inlineStr">
        <is>
          <t>Yield curve inverted — historically precedes recession by 12–18 months</t>
        </is>
      </c>
    </row>
    <row r="55" ht="20" customHeight="1">
      <c r="B55" s="97" t="inlineStr">
        <is>
          <t>2025-07-01</t>
        </is>
      </c>
      <c r="C55" s="160" t="n">
        <v>-0.0205</v>
      </c>
      <c r="D55" s="119" t="inlineStr">
        <is>
          <t>▼  CAUTION</t>
        </is>
      </c>
      <c r="E55" s="119" t="inlineStr">
        <is>
          <t>CONTRACTIONARY</t>
        </is>
      </c>
      <c r="F55" s="99" t="inlineStr">
        <is>
          <t>Yield curve inverted — historically precedes recession by 12–18 months</t>
        </is>
      </c>
    </row>
    <row r="56" ht="20" customHeight="1">
      <c r="B56" s="93" t="inlineStr">
        <is>
          <t>2025-06-01</t>
        </is>
      </c>
      <c r="C56" s="159" t="n">
        <v>-0.0375</v>
      </c>
      <c r="D56" s="119" t="inlineStr">
        <is>
          <t>▼  CAUTION</t>
        </is>
      </c>
      <c r="E56" s="119" t="inlineStr">
        <is>
          <t>CONTRACTIONARY</t>
        </is>
      </c>
      <c r="F56" s="96" t="inlineStr">
        <is>
          <t>Yield curve inverted — historically precedes recession by 12–18 months</t>
        </is>
      </c>
    </row>
    <row r="57" ht="20" customHeight="1">
      <c r="B57" s="97" t="inlineStr">
        <is>
          <t>2025-05-01</t>
        </is>
      </c>
      <c r="C57" s="160" t="n">
        <v>0.0624</v>
      </c>
      <c r="D57" s="95" t="inlineStr">
        <is>
          <t>◆  STABLE</t>
        </is>
      </c>
      <c r="E57" s="95" t="inlineStr">
        <is>
          <t>NEUTRAL</t>
        </is>
      </c>
      <c r="F57" s="99" t="inlineStr">
        <is>
          <t>Yield curve flat to mildly positive — transition zone</t>
        </is>
      </c>
    </row>
    <row r="58" ht="20" customHeight="1">
      <c r="B58" s="100" t="inlineStr">
        <is>
          <t>2025-04-01</t>
        </is>
      </c>
      <c r="C58" s="161" t="n">
        <v>-0.0433</v>
      </c>
      <c r="D58" s="132" t="inlineStr">
        <is>
          <t>▼  CAUTION</t>
        </is>
      </c>
      <c r="E58" s="132" t="inlineStr">
        <is>
          <t>CONTRACTIONARY</t>
        </is>
      </c>
      <c r="F58" s="103" t="inlineStr">
        <is>
          <t>Yield curve inverted — historically precedes recession by 12–18 months</t>
        </is>
      </c>
    </row>
    <row r="59" ht="16" customHeight="1"/>
    <row r="61" ht="32" customHeight="1">
      <c r="A61" s="152" t="inlineStr">
        <is>
          <t xml:space="preserve">  BUILDING PERMITS (YOY %)</t>
        </is>
      </c>
      <c r="B61" s="2" t="n"/>
      <c r="C61" s="2" t="n"/>
      <c r="D61" s="2" t="n"/>
      <c r="E61" s="2" t="n"/>
      <c r="F61" s="3" t="n"/>
    </row>
    <row r="62" ht="30" customHeight="1">
      <c r="B62" s="162" t="n">
        <v>-5.07</v>
      </c>
      <c r="C62" s="57" t="n"/>
      <c r="D62" s="82" t="inlineStr">
        <is>
          <t>NEUTRAL</t>
        </is>
      </c>
      <c r="E62" s="154" t="inlineStr">
        <is>
          <t>Economic Impact</t>
        </is>
      </c>
      <c r="F62" s="32" t="inlineStr">
        <is>
          <t>Building permits growth within normal range (-10% to +5%)</t>
        </is>
      </c>
    </row>
    <row r="63" ht="30" customHeight="1">
      <c r="B63" s="84" t="n"/>
      <c r="C63" s="74" t="n"/>
      <c r="D63" s="85" t="n"/>
      <c r="E63" s="154" t="inlineStr">
        <is>
          <t>Likely Policy Response</t>
        </is>
      </c>
      <c r="F63" s="23" t="inlineStr">
        <is>
          <t>Neutral  —  Hold rates</t>
        </is>
      </c>
    </row>
    <row r="64" ht="22" customHeight="1">
      <c r="B64" s="86" t="inlineStr">
        <is>
          <t xml:space="preserve">  Thresholds  |  &lt;-10% Falling  |  -10 to 5% Normal  |  &gt;5% Rising</t>
        </is>
      </c>
      <c r="C64" s="2" t="n"/>
      <c r="D64" s="2" t="n"/>
      <c r="E64" s="2" t="n"/>
      <c r="F64" s="3" t="n"/>
    </row>
    <row r="65" ht="22" customHeight="1">
      <c r="B65" s="155" t="inlineStr">
        <is>
          <t>Date</t>
        </is>
      </c>
      <c r="C65" s="155" t="inlineStr">
        <is>
          <t>Value</t>
        </is>
      </c>
      <c r="D65" s="155" t="inlineStr">
        <is>
          <t>Signal</t>
        </is>
      </c>
      <c r="E65" s="155" t="inlineStr">
        <is>
          <t>Pressure</t>
        </is>
      </c>
      <c r="F65" s="156" t="inlineStr">
        <is>
          <t>Assessment</t>
        </is>
      </c>
    </row>
    <row r="66" ht="20" customHeight="1">
      <c r="B66" s="89" t="inlineStr">
        <is>
          <t>2026-01-01</t>
        </is>
      </c>
      <c r="C66" s="163" t="n">
        <v>-5.07</v>
      </c>
      <c r="D66" s="91" t="inlineStr">
        <is>
          <t>◆  STABLE</t>
        </is>
      </c>
      <c r="E66" s="91" t="inlineStr">
        <is>
          <t>NEUTRAL</t>
        </is>
      </c>
      <c r="F66" s="92" t="inlineStr">
        <is>
          <t>Building permits growth within normal range (-10% to +5%)</t>
        </is>
      </c>
    </row>
    <row r="67" ht="20" customHeight="1">
      <c r="B67" s="93" t="inlineStr">
        <is>
          <t>2025-12-01</t>
        </is>
      </c>
      <c r="C67" s="164" t="n">
        <v>-1.69</v>
      </c>
      <c r="D67" s="95" t="inlineStr">
        <is>
          <t>◆  STABLE</t>
        </is>
      </c>
      <c r="E67" s="95" t="inlineStr">
        <is>
          <t>NEUTRAL</t>
        </is>
      </c>
      <c r="F67" s="96" t="inlineStr">
        <is>
          <t>Building permits growth within normal range (-10% to +5%)</t>
        </is>
      </c>
    </row>
    <row r="68" ht="20" customHeight="1">
      <c r="B68" s="97" t="inlineStr">
        <is>
          <t>2025-11-01</t>
        </is>
      </c>
      <c r="C68" s="165" t="n">
        <v>-7.96</v>
      </c>
      <c r="D68" s="95" t="inlineStr">
        <is>
          <t>◆  STABLE</t>
        </is>
      </c>
      <c r="E68" s="95" t="inlineStr">
        <is>
          <t>NEUTRAL</t>
        </is>
      </c>
      <c r="F68" s="99" t="inlineStr">
        <is>
          <t>Building permits growth within normal range (-10% to +5%)</t>
        </is>
      </c>
    </row>
    <row r="69" ht="20" customHeight="1">
      <c r="B69" s="93" t="inlineStr">
        <is>
          <t>2025-10-01</t>
        </is>
      </c>
      <c r="C69" s="164" t="n">
        <v>-1.19</v>
      </c>
      <c r="D69" s="95" t="inlineStr">
        <is>
          <t>◆  STABLE</t>
        </is>
      </c>
      <c r="E69" s="95" t="inlineStr">
        <is>
          <t>NEUTRAL</t>
        </is>
      </c>
      <c r="F69" s="96" t="inlineStr">
        <is>
          <t>Building permits growth within normal range (-10% to +5%)</t>
        </is>
      </c>
    </row>
    <row r="70" ht="20" customHeight="1">
      <c r="B70" s="97" t="inlineStr">
        <is>
          <t>2025-09-01</t>
        </is>
      </c>
      <c r="C70" s="165" t="n">
        <v>-1.32</v>
      </c>
      <c r="D70" s="95" t="inlineStr">
        <is>
          <t>◆  STABLE</t>
        </is>
      </c>
      <c r="E70" s="95" t="inlineStr">
        <is>
          <t>NEUTRAL</t>
        </is>
      </c>
      <c r="F70" s="99" t="inlineStr">
        <is>
          <t>Building permits growth within normal range (-10% to +5%)</t>
        </is>
      </c>
    </row>
    <row r="71" ht="20" customHeight="1">
      <c r="B71" s="93" t="inlineStr">
        <is>
          <t>2025-08-01</t>
        </is>
      </c>
      <c r="C71" s="164" t="n">
        <v>-9.890000000000001</v>
      </c>
      <c r="D71" s="95" t="inlineStr">
        <is>
          <t>◆  STABLE</t>
        </is>
      </c>
      <c r="E71" s="95" t="inlineStr">
        <is>
          <t>NEUTRAL</t>
        </is>
      </c>
      <c r="F71" s="96" t="inlineStr">
        <is>
          <t>Building permits growth within normal range (-10% to +5%)</t>
        </is>
      </c>
    </row>
    <row r="72" ht="20" customHeight="1">
      <c r="B72" s="97" t="inlineStr">
        <is>
          <t>2025-07-01</t>
        </is>
      </c>
      <c r="C72" s="165" t="n">
        <v>-5.15</v>
      </c>
      <c r="D72" s="95" t="inlineStr">
        <is>
          <t>◆  STABLE</t>
        </is>
      </c>
      <c r="E72" s="95" t="inlineStr">
        <is>
          <t>NEUTRAL</t>
        </is>
      </c>
      <c r="F72" s="99" t="inlineStr">
        <is>
          <t>Building permits growth within normal range (-10% to +5%)</t>
        </is>
      </c>
    </row>
    <row r="73" ht="20" customHeight="1">
      <c r="B73" s="93" t="inlineStr">
        <is>
          <t>2025-06-01</t>
        </is>
      </c>
      <c r="C73" s="164" t="n">
        <v>-4.65</v>
      </c>
      <c r="D73" s="95" t="inlineStr">
        <is>
          <t>◆  STABLE</t>
        </is>
      </c>
      <c r="E73" s="95" t="inlineStr">
        <is>
          <t>NEUTRAL</t>
        </is>
      </c>
      <c r="F73" s="96" t="inlineStr">
        <is>
          <t>Building permits growth within normal range (-10% to +5%)</t>
        </is>
      </c>
    </row>
    <row r="74" ht="20" customHeight="1">
      <c r="B74" s="97" t="inlineStr">
        <is>
          <t>2025-05-01</t>
        </is>
      </c>
      <c r="C74" s="165" t="n">
        <v>-0.92</v>
      </c>
      <c r="D74" s="95" t="inlineStr">
        <is>
          <t>◆  STABLE</t>
        </is>
      </c>
      <c r="E74" s="95" t="inlineStr">
        <is>
          <t>NEUTRAL</t>
        </is>
      </c>
      <c r="F74" s="99" t="inlineStr">
        <is>
          <t>Building permits growth within normal range (-10% to +5%)</t>
        </is>
      </c>
    </row>
    <row r="75" ht="20" customHeight="1">
      <c r="B75" s="93" t="inlineStr">
        <is>
          <t>2025-04-01</t>
        </is>
      </c>
      <c r="C75" s="164" t="n">
        <v>-2.54</v>
      </c>
      <c r="D75" s="95" t="inlineStr">
        <is>
          <t>◆  STABLE</t>
        </is>
      </c>
      <c r="E75" s="95" t="inlineStr">
        <is>
          <t>NEUTRAL</t>
        </is>
      </c>
      <c r="F75" s="96" t="inlineStr">
        <is>
          <t>Building permits growth within normal range (-10% to +5%)</t>
        </is>
      </c>
    </row>
    <row r="76" ht="20" customHeight="1">
      <c r="B76" s="97" t="inlineStr">
        <is>
          <t>2025-03-01</t>
        </is>
      </c>
      <c r="C76" s="165" t="n">
        <v>0.34</v>
      </c>
      <c r="D76" s="95" t="inlineStr">
        <is>
          <t>◆  STABLE</t>
        </is>
      </c>
      <c r="E76" s="95" t="inlineStr">
        <is>
          <t>NEUTRAL</t>
        </is>
      </c>
      <c r="F76" s="99" t="inlineStr">
        <is>
          <t>Building permits growth within normal range (-10% to +5%)</t>
        </is>
      </c>
    </row>
    <row r="77" ht="20" customHeight="1">
      <c r="B77" s="100" t="inlineStr">
        <is>
          <t>2025-02-01</t>
        </is>
      </c>
      <c r="C77" s="166" t="n">
        <v>-7.8</v>
      </c>
      <c r="D77" s="102" t="inlineStr">
        <is>
          <t>◆  STABLE</t>
        </is>
      </c>
      <c r="E77" s="102" t="inlineStr">
        <is>
          <t>NEUTRAL</t>
        </is>
      </c>
      <c r="F77" s="103" t="inlineStr">
        <is>
          <t>Building permits growth within normal range (-10% to +5%)</t>
        </is>
      </c>
    </row>
    <row r="78" ht="16" customHeight="1"/>
    <row r="80" ht="32" customHeight="1">
      <c r="A80" s="152" t="inlineStr">
        <is>
          <t xml:space="preserve">  JOLTS JOB OPENINGS (YOY %)</t>
        </is>
      </c>
      <c r="B80" s="2" t="n"/>
      <c r="C80" s="2" t="n"/>
      <c r="D80" s="2" t="n"/>
      <c r="E80" s="2" t="n"/>
      <c r="F80" s="3" t="n"/>
    </row>
    <row r="81" ht="30" customHeight="1">
      <c r="B81" s="162" t="n">
        <v>-4.97</v>
      </c>
      <c r="C81" s="57" t="n"/>
      <c r="D81" s="82" t="inlineStr">
        <is>
          <t>NEUTRAL</t>
        </is>
      </c>
      <c r="E81" s="154" t="inlineStr">
        <is>
          <t>Economic Impact</t>
        </is>
      </c>
      <c r="F81" s="32" t="inlineStr">
        <is>
          <t>Job openings growth within normal range</t>
        </is>
      </c>
    </row>
    <row r="82" ht="30" customHeight="1">
      <c r="B82" s="84" t="n"/>
      <c r="C82" s="74" t="n"/>
      <c r="D82" s="85" t="n"/>
      <c r="E82" s="154" t="inlineStr">
        <is>
          <t>Likely Policy Response</t>
        </is>
      </c>
      <c r="F82" s="23" t="inlineStr">
        <is>
          <t>Neutral  —  Hold rates</t>
        </is>
      </c>
    </row>
    <row r="83" ht="22" customHeight="1">
      <c r="B83" s="86" t="inlineStr">
        <is>
          <t xml:space="preserve">  Thresholds  |  &lt;-15% Falling  |  Normal  |  &gt;10% Rising</t>
        </is>
      </c>
      <c r="C83" s="2" t="n"/>
      <c r="D83" s="2" t="n"/>
      <c r="E83" s="2" t="n"/>
      <c r="F83" s="3" t="n"/>
    </row>
    <row r="84" ht="22" customHeight="1">
      <c r="B84" s="155" t="inlineStr">
        <is>
          <t>Date</t>
        </is>
      </c>
      <c r="C84" s="155" t="inlineStr">
        <is>
          <t>Value</t>
        </is>
      </c>
      <c r="D84" s="155" t="inlineStr">
        <is>
          <t>Signal</t>
        </is>
      </c>
      <c r="E84" s="155" t="inlineStr">
        <is>
          <t>Pressure</t>
        </is>
      </c>
      <c r="F84" s="156" t="inlineStr">
        <is>
          <t>Assessment</t>
        </is>
      </c>
    </row>
    <row r="85" ht="20" customHeight="1">
      <c r="B85" s="89" t="inlineStr">
        <is>
          <t>2026-02-01</t>
        </is>
      </c>
      <c r="C85" s="163" t="n">
        <v>-4.97</v>
      </c>
      <c r="D85" s="91" t="inlineStr">
        <is>
          <t>◆  STABLE</t>
        </is>
      </c>
      <c r="E85" s="91" t="inlineStr">
        <is>
          <t>NEUTRAL</t>
        </is>
      </c>
      <c r="F85" s="92" t="inlineStr">
        <is>
          <t>Job openings growth within normal range</t>
        </is>
      </c>
    </row>
    <row r="86" ht="20" customHeight="1">
      <c r="B86" s="93" t="inlineStr">
        <is>
          <t>2026-01-01</t>
        </is>
      </c>
      <c r="C86" s="164" t="n">
        <v>-2.57</v>
      </c>
      <c r="D86" s="95" t="inlineStr">
        <is>
          <t>◆  STABLE</t>
        </is>
      </c>
      <c r="E86" s="95" t="inlineStr">
        <is>
          <t>NEUTRAL</t>
        </is>
      </c>
      <c r="F86" s="96" t="inlineStr">
        <is>
          <t>Job openings growth within normal range</t>
        </is>
      </c>
    </row>
    <row r="87" ht="20" customHeight="1">
      <c r="B87" s="97" t="inlineStr">
        <is>
          <t>2025-12-01</t>
        </is>
      </c>
      <c r="C87" s="165" t="n">
        <v>-10.21</v>
      </c>
      <c r="D87" s="95" t="inlineStr">
        <is>
          <t>◆  STABLE</t>
        </is>
      </c>
      <c r="E87" s="95" t="inlineStr">
        <is>
          <t>NEUTRAL</t>
        </is>
      </c>
      <c r="F87" s="99" t="inlineStr">
        <is>
          <t>Job openings growth within normal range</t>
        </is>
      </c>
    </row>
    <row r="88" ht="20" customHeight="1">
      <c r="B88" s="93" t="inlineStr">
        <is>
          <t>2025-11-01</t>
        </is>
      </c>
      <c r="C88" s="164" t="n">
        <v>-9.52</v>
      </c>
      <c r="D88" s="95" t="inlineStr">
        <is>
          <t>◆  STABLE</t>
        </is>
      </c>
      <c r="E88" s="95" t="inlineStr">
        <is>
          <t>NEUTRAL</t>
        </is>
      </c>
      <c r="F88" s="96" t="inlineStr">
        <is>
          <t>Job openings growth within normal range</t>
        </is>
      </c>
    </row>
    <row r="89" ht="20" customHeight="1">
      <c r="B89" s="97" t="inlineStr">
        <is>
          <t>2025-10-01</t>
        </is>
      </c>
      <c r="C89" s="165" t="n">
        <v>-2.83</v>
      </c>
      <c r="D89" s="95" t="inlineStr">
        <is>
          <t>◆  STABLE</t>
        </is>
      </c>
      <c r="E89" s="95" t="inlineStr">
        <is>
          <t>NEUTRAL</t>
        </is>
      </c>
      <c r="F89" s="99" t="inlineStr">
        <is>
          <t>Job openings growth within normal range</t>
        </is>
      </c>
    </row>
    <row r="90" ht="20" customHeight="1">
      <c r="B90" s="93" t="inlineStr">
        <is>
          <t>2025-09-01</t>
        </is>
      </c>
      <c r="C90" s="164" t="n">
        <v>3.26</v>
      </c>
      <c r="D90" s="95" t="inlineStr">
        <is>
          <t>◆  STABLE</t>
        </is>
      </c>
      <c r="E90" s="95" t="inlineStr">
        <is>
          <t>NEUTRAL</t>
        </is>
      </c>
      <c r="F90" s="96" t="inlineStr">
        <is>
          <t>Job openings growth within normal range</t>
        </is>
      </c>
    </row>
    <row r="91" ht="20" customHeight="1">
      <c r="B91" s="97" t="inlineStr">
        <is>
          <t>2025-08-01</t>
        </is>
      </c>
      <c r="C91" s="165" t="n">
        <v>-7.99</v>
      </c>
      <c r="D91" s="95" t="inlineStr">
        <is>
          <t>◆  STABLE</t>
        </is>
      </c>
      <c r="E91" s="95" t="inlineStr">
        <is>
          <t>NEUTRAL</t>
        </is>
      </c>
      <c r="F91" s="99" t="inlineStr">
        <is>
          <t>Job openings growth within normal range</t>
        </is>
      </c>
    </row>
    <row r="92" ht="20" customHeight="1">
      <c r="B92" s="93" t="inlineStr">
        <is>
          <t>2025-07-01</t>
        </is>
      </c>
      <c r="C92" s="164" t="n">
        <v>-4.54</v>
      </c>
      <c r="D92" s="95" t="inlineStr">
        <is>
          <t>◆  STABLE</t>
        </is>
      </c>
      <c r="E92" s="95" t="inlineStr">
        <is>
          <t>NEUTRAL</t>
        </is>
      </c>
      <c r="F92" s="96" t="inlineStr">
        <is>
          <t>Job openings growth within normal range</t>
        </is>
      </c>
    </row>
    <row r="93" ht="20" customHeight="1">
      <c r="B93" s="97" t="inlineStr">
        <is>
          <t>2025-06-01</t>
        </is>
      </c>
      <c r="C93" s="165" t="n">
        <v>-2.86</v>
      </c>
      <c r="D93" s="95" t="inlineStr">
        <is>
          <t>◆  STABLE</t>
        </is>
      </c>
      <c r="E93" s="95" t="inlineStr">
        <is>
          <t>NEUTRAL</t>
        </is>
      </c>
      <c r="F93" s="99" t="inlineStr">
        <is>
          <t>Job openings growth within normal range</t>
        </is>
      </c>
    </row>
    <row r="94" ht="20" customHeight="1">
      <c r="B94" s="93" t="inlineStr">
        <is>
          <t>2025-05-01</t>
        </is>
      </c>
      <c r="C94" s="164" t="n">
        <v>-6.07</v>
      </c>
      <c r="D94" s="95" t="inlineStr">
        <is>
          <t>◆  STABLE</t>
        </is>
      </c>
      <c r="E94" s="95" t="inlineStr">
        <is>
          <t>NEUTRAL</t>
        </is>
      </c>
      <c r="F94" s="96" t="inlineStr">
        <is>
          <t>Job openings growth within normal range</t>
        </is>
      </c>
    </row>
    <row r="95" ht="20" customHeight="1">
      <c r="B95" s="97" t="inlineStr">
        <is>
          <t>2025-04-01</t>
        </is>
      </c>
      <c r="C95" s="165" t="n">
        <v>-5.72</v>
      </c>
      <c r="D95" s="95" t="inlineStr">
        <is>
          <t>◆  STABLE</t>
        </is>
      </c>
      <c r="E95" s="95" t="inlineStr">
        <is>
          <t>NEUTRAL</t>
        </is>
      </c>
      <c r="F95" s="99" t="inlineStr">
        <is>
          <t>Job openings growth within normal range</t>
        </is>
      </c>
    </row>
    <row r="96" ht="20" customHeight="1">
      <c r="B96" s="100" t="inlineStr">
        <is>
          <t>2025-03-01</t>
        </is>
      </c>
      <c r="C96" s="166" t="n">
        <v>-15.28</v>
      </c>
      <c r="D96" s="132" t="inlineStr">
        <is>
          <t>▼  CAUTION</t>
        </is>
      </c>
      <c r="E96" s="132" t="inlineStr">
        <is>
          <t>CONTRACTIONARY</t>
        </is>
      </c>
      <c r="F96" s="103" t="inlineStr">
        <is>
          <t>Job openings falling &gt;15% YoY — labour demand weakening sharply</t>
        </is>
      </c>
    </row>
    <row r="97" ht="16" customHeight="1"/>
    <row r="99" ht="32" customHeight="1">
      <c r="A99" s="152" t="inlineStr">
        <is>
          <t xml:space="preserve">  JOLTS QUITS RATE (%)</t>
        </is>
      </c>
      <c r="B99" s="2" t="n"/>
      <c r="C99" s="2" t="n"/>
      <c r="D99" s="2" t="n"/>
      <c r="E99" s="2" t="n"/>
      <c r="F99" s="3" t="n"/>
    </row>
    <row r="100" ht="30" customHeight="1">
      <c r="B100" s="167" t="n">
        <v>1.9</v>
      </c>
      <c r="C100" s="57" t="n"/>
      <c r="D100" s="114" t="inlineStr">
        <is>
          <t>CONTRACTIONARY</t>
        </is>
      </c>
      <c r="E100" s="154" t="inlineStr">
        <is>
          <t>Economic Impact</t>
        </is>
      </c>
      <c r="F100" s="32" t="inlineStr">
        <is>
          <t>Quits rate below 2% — workers lack confidence, labour market cooling</t>
        </is>
      </c>
    </row>
    <row r="101" ht="30" customHeight="1">
      <c r="B101" s="84" t="n"/>
      <c r="C101" s="74" t="n"/>
      <c r="D101" s="85" t="n"/>
      <c r="E101" s="154" t="inlineStr">
        <is>
          <t>Likely Policy Response</t>
        </is>
      </c>
      <c r="F101" s="23" t="inlineStr">
        <is>
          <t>Expansionary  —  Cut rates / QE</t>
        </is>
      </c>
    </row>
    <row r="102" ht="22" customHeight="1">
      <c r="B102" s="86" t="inlineStr">
        <is>
          <t xml:space="preserve">  Thresholds  |  &lt;2.0% Low  |  2.0–2.5% Normal  |  &gt;2.5% High</t>
        </is>
      </c>
      <c r="C102" s="2" t="n"/>
      <c r="D102" s="2" t="n"/>
      <c r="E102" s="2" t="n"/>
      <c r="F102" s="3" t="n"/>
    </row>
    <row r="103" ht="22" customHeight="1">
      <c r="B103" s="155" t="inlineStr">
        <is>
          <t>Date</t>
        </is>
      </c>
      <c r="C103" s="155" t="inlineStr">
        <is>
          <t>Value</t>
        </is>
      </c>
      <c r="D103" s="155" t="inlineStr">
        <is>
          <t>Signal</t>
        </is>
      </c>
      <c r="E103" s="155" t="inlineStr">
        <is>
          <t>Pressure</t>
        </is>
      </c>
      <c r="F103" s="156" t="inlineStr">
        <is>
          <t>Assessment</t>
        </is>
      </c>
    </row>
    <row r="104" ht="20" customHeight="1">
      <c r="B104" s="89" t="inlineStr">
        <is>
          <t>2026-02-01</t>
        </is>
      </c>
      <c r="C104" s="90" t="n">
        <v>1.9</v>
      </c>
      <c r="D104" s="116" t="inlineStr">
        <is>
          <t>▼  CAUTION</t>
        </is>
      </c>
      <c r="E104" s="116" t="inlineStr">
        <is>
          <t>CONTRACTIONARY</t>
        </is>
      </c>
      <c r="F104" s="92" t="inlineStr">
        <is>
          <t>Quits rate below 2% — workers lack confidence, labour market cooling</t>
        </is>
      </c>
    </row>
    <row r="105" ht="20" customHeight="1">
      <c r="B105" s="93" t="inlineStr">
        <is>
          <t>2026-01-01</t>
        </is>
      </c>
      <c r="C105" s="94" t="n">
        <v>2</v>
      </c>
      <c r="D105" s="95" t="inlineStr">
        <is>
          <t>◆  STABLE</t>
        </is>
      </c>
      <c r="E105" s="95" t="inlineStr">
        <is>
          <t>NEUTRAL</t>
        </is>
      </c>
      <c r="F105" s="96" t="inlineStr">
        <is>
          <t>Quits rate within the normal 2.0–2.5% range</t>
        </is>
      </c>
    </row>
    <row r="106" ht="20" customHeight="1">
      <c r="B106" s="97" t="inlineStr">
        <is>
          <t>2025-12-01</t>
        </is>
      </c>
      <c r="C106" s="98" t="n">
        <v>2</v>
      </c>
      <c r="D106" s="95" t="inlineStr">
        <is>
          <t>◆  STABLE</t>
        </is>
      </c>
      <c r="E106" s="95" t="inlineStr">
        <is>
          <t>NEUTRAL</t>
        </is>
      </c>
      <c r="F106" s="99" t="inlineStr">
        <is>
          <t>Quits rate within the normal 2.0–2.5% range</t>
        </is>
      </c>
    </row>
    <row r="107" ht="20" customHeight="1">
      <c r="B107" s="93" t="inlineStr">
        <is>
          <t>2025-11-01</t>
        </is>
      </c>
      <c r="C107" s="94" t="n">
        <v>2</v>
      </c>
      <c r="D107" s="95" t="inlineStr">
        <is>
          <t>◆  STABLE</t>
        </is>
      </c>
      <c r="E107" s="95" t="inlineStr">
        <is>
          <t>NEUTRAL</t>
        </is>
      </c>
      <c r="F107" s="96" t="inlineStr">
        <is>
          <t>Quits rate within the normal 2.0–2.5% range</t>
        </is>
      </c>
    </row>
    <row r="108" ht="20" customHeight="1">
      <c r="B108" s="97" t="inlineStr">
        <is>
          <t>2025-10-01</t>
        </is>
      </c>
      <c r="C108" s="98" t="n">
        <v>1.9</v>
      </c>
      <c r="D108" s="119" t="inlineStr">
        <is>
          <t>▼  CAUTION</t>
        </is>
      </c>
      <c r="E108" s="119" t="inlineStr">
        <is>
          <t>CONTRACTIONARY</t>
        </is>
      </c>
      <c r="F108" s="99" t="inlineStr">
        <is>
          <t>Quits rate below 2% — workers lack confidence, labour market cooling</t>
        </is>
      </c>
    </row>
    <row r="109" ht="20" customHeight="1">
      <c r="B109" s="93" t="inlineStr">
        <is>
          <t>2025-09-01</t>
        </is>
      </c>
      <c r="C109" s="94" t="n">
        <v>1.9</v>
      </c>
      <c r="D109" s="119" t="inlineStr">
        <is>
          <t>▼  CAUTION</t>
        </is>
      </c>
      <c r="E109" s="119" t="inlineStr">
        <is>
          <t>CONTRACTIONARY</t>
        </is>
      </c>
      <c r="F109" s="96" t="inlineStr">
        <is>
          <t>Quits rate below 2% — workers lack confidence, labour market cooling</t>
        </is>
      </c>
    </row>
    <row r="110" ht="20" customHeight="1">
      <c r="B110" s="97" t="inlineStr">
        <is>
          <t>2025-08-01</t>
        </is>
      </c>
      <c r="C110" s="98" t="n">
        <v>2</v>
      </c>
      <c r="D110" s="95" t="inlineStr">
        <is>
          <t>◆  STABLE</t>
        </is>
      </c>
      <c r="E110" s="95" t="inlineStr">
        <is>
          <t>NEUTRAL</t>
        </is>
      </c>
      <c r="F110" s="99" t="inlineStr">
        <is>
          <t>Quits rate within the normal 2.0–2.5% range</t>
        </is>
      </c>
    </row>
    <row r="111" ht="20" customHeight="1">
      <c r="B111" s="93" t="inlineStr">
        <is>
          <t>2025-07-01</t>
        </is>
      </c>
      <c r="C111" s="94" t="n">
        <v>2</v>
      </c>
      <c r="D111" s="95" t="inlineStr">
        <is>
          <t>◆  STABLE</t>
        </is>
      </c>
      <c r="E111" s="95" t="inlineStr">
        <is>
          <t>NEUTRAL</t>
        </is>
      </c>
      <c r="F111" s="96" t="inlineStr">
        <is>
          <t>Quits rate within the normal 2.0–2.5% range</t>
        </is>
      </c>
    </row>
    <row r="112" ht="20" customHeight="1">
      <c r="B112" s="97" t="inlineStr">
        <is>
          <t>2025-06-01</t>
        </is>
      </c>
      <c r="C112" s="98" t="n">
        <v>2.1</v>
      </c>
      <c r="D112" s="95" t="inlineStr">
        <is>
          <t>◆  STABLE</t>
        </is>
      </c>
      <c r="E112" s="95" t="inlineStr">
        <is>
          <t>NEUTRAL</t>
        </is>
      </c>
      <c r="F112" s="99" t="inlineStr">
        <is>
          <t>Quits rate within the normal 2.0–2.5% range</t>
        </is>
      </c>
    </row>
    <row r="113" ht="20" customHeight="1">
      <c r="B113" s="93" t="inlineStr">
        <is>
          <t>2025-05-01</t>
        </is>
      </c>
      <c r="C113" s="94" t="n">
        <v>2.1</v>
      </c>
      <c r="D113" s="95" t="inlineStr">
        <is>
          <t>◆  STABLE</t>
        </is>
      </c>
      <c r="E113" s="95" t="inlineStr">
        <is>
          <t>NEUTRAL</t>
        </is>
      </c>
      <c r="F113" s="96" t="inlineStr">
        <is>
          <t>Quits rate within the normal 2.0–2.5% range</t>
        </is>
      </c>
    </row>
    <row r="114" ht="20" customHeight="1">
      <c r="B114" s="97" t="inlineStr">
        <is>
          <t>2025-04-01</t>
        </is>
      </c>
      <c r="C114" s="98" t="n">
        <v>2</v>
      </c>
      <c r="D114" s="95" t="inlineStr">
        <is>
          <t>◆  STABLE</t>
        </is>
      </c>
      <c r="E114" s="95" t="inlineStr">
        <is>
          <t>NEUTRAL</t>
        </is>
      </c>
      <c r="F114" s="99" t="inlineStr">
        <is>
          <t>Quits rate within the normal 2.0–2.5% range</t>
        </is>
      </c>
    </row>
    <row r="115" ht="20" customHeight="1">
      <c r="B115" s="100" t="inlineStr">
        <is>
          <t>2025-03-01</t>
        </is>
      </c>
      <c r="C115" s="101" t="n">
        <v>2.2</v>
      </c>
      <c r="D115" s="102" t="inlineStr">
        <is>
          <t>◆  STABLE</t>
        </is>
      </c>
      <c r="E115" s="102" t="inlineStr">
        <is>
          <t>NEUTRAL</t>
        </is>
      </c>
      <c r="F115" s="103" t="inlineStr">
        <is>
          <t>Quits rate within the normal 2.0–2.5% range</t>
        </is>
      </c>
    </row>
    <row r="116" ht="16" customHeight="1"/>
    <row r="118" ht="32" customHeight="1">
      <c r="A118" s="152" t="inlineStr">
        <is>
          <t xml:space="preserve">  10Y BREAKEVEN INFLATION</t>
        </is>
      </c>
      <c r="B118" s="2" t="n"/>
      <c r="C118" s="2" t="n"/>
      <c r="D118" s="2" t="n"/>
      <c r="E118" s="2" t="n"/>
      <c r="F118" s="3" t="n"/>
    </row>
    <row r="119" ht="30" customHeight="1">
      <c r="B119" s="124" t="n">
        <v>2.3368</v>
      </c>
      <c r="C119" s="57" t="n"/>
      <c r="D119" s="82" t="inlineStr">
        <is>
          <t>NEUTRAL</t>
        </is>
      </c>
      <c r="E119" s="154" t="inlineStr">
        <is>
          <t>Economic Impact</t>
        </is>
      </c>
      <c r="F119" s="32" t="inlineStr">
        <is>
          <t>Breakeven inflation near 2% target — inflation expectations anchored</t>
        </is>
      </c>
    </row>
    <row r="120" ht="30" customHeight="1">
      <c r="B120" s="84" t="n"/>
      <c r="C120" s="74" t="n"/>
      <c r="D120" s="85" t="n"/>
      <c r="E120" s="154" t="inlineStr">
        <is>
          <t>Likely Policy Response</t>
        </is>
      </c>
      <c r="F120" s="23" t="inlineStr">
        <is>
          <t>Neutral  —  Hold rates</t>
        </is>
      </c>
    </row>
    <row r="121" ht="22" customHeight="1">
      <c r="B121" s="86" t="inlineStr">
        <is>
          <t xml:space="preserve">  Thresholds  |  &lt;1.8% Deflationary  |  1.8–2.5% Anchored  |  &gt;2.5% Elevated</t>
        </is>
      </c>
      <c r="C121" s="2" t="n"/>
      <c r="D121" s="2" t="n"/>
      <c r="E121" s="2" t="n"/>
      <c r="F121" s="3" t="n"/>
    </row>
    <row r="122" ht="22" customHeight="1">
      <c r="B122" s="155" t="inlineStr">
        <is>
          <t>Date</t>
        </is>
      </c>
      <c r="C122" s="155" t="inlineStr">
        <is>
          <t>Value</t>
        </is>
      </c>
      <c r="D122" s="155" t="inlineStr">
        <is>
          <t>Signal</t>
        </is>
      </c>
      <c r="E122" s="155" t="inlineStr">
        <is>
          <t>Pressure</t>
        </is>
      </c>
      <c r="F122" s="156" t="inlineStr">
        <is>
          <t>Assessment</t>
        </is>
      </c>
    </row>
    <row r="123" ht="20" customHeight="1">
      <c r="B123" s="89" t="inlineStr">
        <is>
          <t>2026-03-01</t>
        </is>
      </c>
      <c r="C123" s="128" t="n">
        <v>2.3368</v>
      </c>
      <c r="D123" s="91" t="inlineStr">
        <is>
          <t>◆  STABLE</t>
        </is>
      </c>
      <c r="E123" s="91" t="inlineStr">
        <is>
          <t>NEUTRAL</t>
        </is>
      </c>
      <c r="F123" s="92" t="inlineStr">
        <is>
          <t>Breakeven inflation near 2% target — inflation expectations anchored</t>
        </is>
      </c>
    </row>
    <row r="124" ht="20" customHeight="1">
      <c r="B124" s="93" t="inlineStr">
        <is>
          <t>2026-02-01</t>
        </is>
      </c>
      <c r="C124" s="129" t="n">
        <v>2.3011</v>
      </c>
      <c r="D124" s="95" t="inlineStr">
        <is>
          <t>◆  STABLE</t>
        </is>
      </c>
      <c r="E124" s="95" t="inlineStr">
        <is>
          <t>NEUTRAL</t>
        </is>
      </c>
      <c r="F124" s="96" t="inlineStr">
        <is>
          <t>Breakeven inflation near 2% target — inflation expectations anchored</t>
        </is>
      </c>
    </row>
    <row r="125" ht="20" customHeight="1">
      <c r="B125" s="97" t="inlineStr">
        <is>
          <t>2026-01-01</t>
        </is>
      </c>
      <c r="C125" s="130" t="n">
        <v>2.3065</v>
      </c>
      <c r="D125" s="95" t="inlineStr">
        <is>
          <t>◆  STABLE</t>
        </is>
      </c>
      <c r="E125" s="95" t="inlineStr">
        <is>
          <t>NEUTRAL</t>
        </is>
      </c>
      <c r="F125" s="99" t="inlineStr">
        <is>
          <t>Breakeven inflation near 2% target — inflation expectations anchored</t>
        </is>
      </c>
    </row>
    <row r="126" ht="20" customHeight="1">
      <c r="B126" s="93" t="inlineStr">
        <is>
          <t>2025-12-01</t>
        </is>
      </c>
      <c r="C126" s="129" t="n">
        <v>2.2441</v>
      </c>
      <c r="D126" s="95" t="inlineStr">
        <is>
          <t>◆  STABLE</t>
        </is>
      </c>
      <c r="E126" s="95" t="inlineStr">
        <is>
          <t>NEUTRAL</t>
        </is>
      </c>
      <c r="F126" s="96" t="inlineStr">
        <is>
          <t>Breakeven inflation near 2% target — inflation expectations anchored</t>
        </is>
      </c>
    </row>
    <row r="127" ht="20" customHeight="1">
      <c r="B127" s="97" t="inlineStr">
        <is>
          <t>2025-11-01</t>
        </is>
      </c>
      <c r="C127" s="130" t="n">
        <v>2.2661</v>
      </c>
      <c r="D127" s="95" t="inlineStr">
        <is>
          <t>◆  STABLE</t>
        </is>
      </c>
      <c r="E127" s="95" t="inlineStr">
        <is>
          <t>NEUTRAL</t>
        </is>
      </c>
      <c r="F127" s="99" t="inlineStr">
        <is>
          <t>Breakeven inflation near 2% target — inflation expectations anchored</t>
        </is>
      </c>
    </row>
    <row r="128" ht="20" customHeight="1">
      <c r="B128" s="93" t="inlineStr">
        <is>
          <t>2025-10-01</t>
        </is>
      </c>
      <c r="C128" s="129" t="n">
        <v>2.305</v>
      </c>
      <c r="D128" s="95" t="inlineStr">
        <is>
          <t>◆  STABLE</t>
        </is>
      </c>
      <c r="E128" s="95" t="inlineStr">
        <is>
          <t>NEUTRAL</t>
        </is>
      </c>
      <c r="F128" s="96" t="inlineStr">
        <is>
          <t>Breakeven inflation near 2% target — inflation expectations anchored</t>
        </is>
      </c>
    </row>
    <row r="129" ht="20" customHeight="1">
      <c r="B129" s="97" t="inlineStr">
        <is>
          <t>2025-09-01</t>
        </is>
      </c>
      <c r="C129" s="130" t="n">
        <v>2.3714</v>
      </c>
      <c r="D129" s="95" t="inlineStr">
        <is>
          <t>◆  STABLE</t>
        </is>
      </c>
      <c r="E129" s="95" t="inlineStr">
        <is>
          <t>NEUTRAL</t>
        </is>
      </c>
      <c r="F129" s="99" t="inlineStr">
        <is>
          <t>Breakeven inflation near 2% target — inflation expectations anchored</t>
        </is>
      </c>
    </row>
    <row r="130" ht="20" customHeight="1">
      <c r="B130" s="93" t="inlineStr">
        <is>
          <t>2025-08-01</t>
        </is>
      </c>
      <c r="C130" s="129" t="n">
        <v>2.3819</v>
      </c>
      <c r="D130" s="95" t="inlineStr">
        <is>
          <t>◆  STABLE</t>
        </is>
      </c>
      <c r="E130" s="95" t="inlineStr">
        <is>
          <t>NEUTRAL</t>
        </is>
      </c>
      <c r="F130" s="96" t="inlineStr">
        <is>
          <t>Breakeven inflation near 2% target — inflation expectations anchored</t>
        </is>
      </c>
    </row>
    <row r="131" ht="20" customHeight="1">
      <c r="B131" s="97" t="inlineStr">
        <is>
          <t>2025-07-01</t>
        </is>
      </c>
      <c r="C131" s="130" t="n">
        <v>2.3836</v>
      </c>
      <c r="D131" s="95" t="inlineStr">
        <is>
          <t>◆  STABLE</t>
        </is>
      </c>
      <c r="E131" s="95" t="inlineStr">
        <is>
          <t>NEUTRAL</t>
        </is>
      </c>
      <c r="F131" s="99" t="inlineStr">
        <is>
          <t>Breakeven inflation near 2% target — inflation expectations anchored</t>
        </is>
      </c>
    </row>
    <row r="132" ht="20" customHeight="1">
      <c r="B132" s="93" t="inlineStr">
        <is>
          <t>2025-06-01</t>
        </is>
      </c>
      <c r="C132" s="129" t="n">
        <v>2.297</v>
      </c>
      <c r="D132" s="95" t="inlineStr">
        <is>
          <t>◆  STABLE</t>
        </is>
      </c>
      <c r="E132" s="95" t="inlineStr">
        <is>
          <t>NEUTRAL</t>
        </is>
      </c>
      <c r="F132" s="96" t="inlineStr">
        <is>
          <t>Breakeven inflation near 2% target — inflation expectations anchored</t>
        </is>
      </c>
    </row>
    <row r="133" ht="20" customHeight="1">
      <c r="B133" s="97" t="inlineStr">
        <is>
          <t>2025-05-01</t>
        </is>
      </c>
      <c r="C133" s="130" t="n">
        <v>2.3133</v>
      </c>
      <c r="D133" s="95" t="inlineStr">
        <is>
          <t>◆  STABLE</t>
        </is>
      </c>
      <c r="E133" s="95" t="inlineStr">
        <is>
          <t>NEUTRAL</t>
        </is>
      </c>
      <c r="F133" s="99" t="inlineStr">
        <is>
          <t>Breakeven inflation near 2% target — inflation expectations anchored</t>
        </is>
      </c>
    </row>
    <row r="134" ht="20" customHeight="1">
      <c r="B134" s="100" t="inlineStr">
        <is>
          <t>2025-04-01</t>
        </is>
      </c>
      <c r="C134" s="131" t="n">
        <v>2.241</v>
      </c>
      <c r="D134" s="102" t="inlineStr">
        <is>
          <t>◆  STABLE</t>
        </is>
      </c>
      <c r="E134" s="102" t="inlineStr">
        <is>
          <t>NEUTRAL</t>
        </is>
      </c>
      <c r="F134" s="103" t="inlineStr">
        <is>
          <t>Breakeven inflation near 2% target — inflation expectations anchored</t>
        </is>
      </c>
    </row>
    <row r="135" ht="16" customHeight="1"/>
    <row r="137" ht="32" customHeight="1">
      <c r="A137" s="152" t="inlineStr">
        <is>
          <t xml:space="preserve">  CHICAGO FED NATL ACTIVITY</t>
        </is>
      </c>
      <c r="B137" s="2" t="n"/>
      <c r="C137" s="2" t="n"/>
      <c r="D137" s="2" t="n"/>
      <c r="E137" s="2" t="n"/>
      <c r="F137" s="3" t="n"/>
    </row>
    <row r="138" ht="30" customHeight="1">
      <c r="B138" s="157" t="n">
        <v>-0.11</v>
      </c>
      <c r="C138" s="57" t="n"/>
      <c r="D138" s="82" t="inlineStr">
        <is>
          <t>NEUTRAL</t>
        </is>
      </c>
      <c r="E138" s="154" t="inlineStr">
        <is>
          <t>Economic Impact</t>
        </is>
      </c>
      <c r="F138" s="32" t="inlineStr">
        <is>
          <t>CFNAI near zero — economy growing at or near trend</t>
        </is>
      </c>
    </row>
    <row r="139" ht="30" customHeight="1">
      <c r="B139" s="84" t="n"/>
      <c r="C139" s="74" t="n"/>
      <c r="D139" s="85" t="n"/>
      <c r="E139" s="154" t="inlineStr">
        <is>
          <t>Likely Policy Response</t>
        </is>
      </c>
      <c r="F139" s="23" t="inlineStr">
        <is>
          <t>Neutral  —  Hold rates</t>
        </is>
      </c>
    </row>
    <row r="140" ht="22" customHeight="1">
      <c r="B140" s="86" t="inlineStr">
        <is>
          <t xml:space="preserve">  Thresholds  |  &lt;-0.7 Recession  |  -0.7 to 0.2 Trend  |  &gt;0.2 Above Trend</t>
        </is>
      </c>
      <c r="C140" s="2" t="n"/>
      <c r="D140" s="2" t="n"/>
      <c r="E140" s="2" t="n"/>
      <c r="F140" s="3" t="n"/>
    </row>
    <row r="141" ht="22" customHeight="1">
      <c r="B141" s="155" t="inlineStr">
        <is>
          <t>Date</t>
        </is>
      </c>
      <c r="C141" s="155" t="inlineStr">
        <is>
          <t>Value</t>
        </is>
      </c>
      <c r="D141" s="155" t="inlineStr">
        <is>
          <t>Signal</t>
        </is>
      </c>
      <c r="E141" s="155" t="inlineStr">
        <is>
          <t>Pressure</t>
        </is>
      </c>
      <c r="F141" s="156" t="inlineStr">
        <is>
          <t>Assessment</t>
        </is>
      </c>
    </row>
    <row r="142" ht="20" customHeight="1">
      <c r="B142" s="89" t="inlineStr">
        <is>
          <t>2026-02-01</t>
        </is>
      </c>
      <c r="C142" s="158" t="n">
        <v>-0.11</v>
      </c>
      <c r="D142" s="91" t="inlineStr">
        <is>
          <t>◆  STABLE</t>
        </is>
      </c>
      <c r="E142" s="91" t="inlineStr">
        <is>
          <t>NEUTRAL</t>
        </is>
      </c>
      <c r="F142" s="92" t="inlineStr">
        <is>
          <t>CFNAI near zero — economy growing at or near trend</t>
        </is>
      </c>
    </row>
    <row r="143" ht="20" customHeight="1">
      <c r="B143" s="93" t="inlineStr">
        <is>
          <t>2026-01-01</t>
        </is>
      </c>
      <c r="C143" s="159" t="n">
        <v>0.2</v>
      </c>
      <c r="D143" s="95" t="inlineStr">
        <is>
          <t>◆  STABLE</t>
        </is>
      </c>
      <c r="E143" s="95" t="inlineStr">
        <is>
          <t>NEUTRAL</t>
        </is>
      </c>
      <c r="F143" s="96" t="inlineStr">
        <is>
          <t>CFNAI near zero — economy growing at or near trend</t>
        </is>
      </c>
    </row>
    <row r="144" ht="20" customHeight="1">
      <c r="B144" s="97" t="inlineStr">
        <is>
          <t>2025-12-01</t>
        </is>
      </c>
      <c r="C144" s="160" t="n">
        <v>-0.12</v>
      </c>
      <c r="D144" s="95" t="inlineStr">
        <is>
          <t>◆  STABLE</t>
        </is>
      </c>
      <c r="E144" s="95" t="inlineStr">
        <is>
          <t>NEUTRAL</t>
        </is>
      </c>
      <c r="F144" s="99" t="inlineStr">
        <is>
          <t>CFNAI near zero — economy growing at or near trend</t>
        </is>
      </c>
    </row>
    <row r="145" ht="20" customHeight="1">
      <c r="B145" s="93" t="inlineStr">
        <is>
          <t>2025-11-01</t>
        </is>
      </c>
      <c r="C145" s="159" t="n">
        <v>-0.13</v>
      </c>
      <c r="D145" s="95" t="inlineStr">
        <is>
          <t>◆  STABLE</t>
        </is>
      </c>
      <c r="E145" s="95" t="inlineStr">
        <is>
          <t>NEUTRAL</t>
        </is>
      </c>
      <c r="F145" s="96" t="inlineStr">
        <is>
          <t>CFNAI near zero — economy growing at or near trend</t>
        </is>
      </c>
    </row>
    <row r="146" ht="20" customHeight="1">
      <c r="B146" s="97" t="inlineStr">
        <is>
          <t>2025-10-01</t>
        </is>
      </c>
      <c r="C146" s="160" t="n">
        <v>-0.51</v>
      </c>
      <c r="D146" s="95" t="inlineStr">
        <is>
          <t>◆  STABLE</t>
        </is>
      </c>
      <c r="E146" s="95" t="inlineStr">
        <is>
          <t>NEUTRAL</t>
        </is>
      </c>
      <c r="F146" s="99" t="inlineStr">
        <is>
          <t>CFNAI near zero — economy growing at or near trend</t>
        </is>
      </c>
    </row>
    <row r="147" ht="20" customHeight="1">
      <c r="B147" s="93" t="inlineStr">
        <is>
          <t>2025-09-01</t>
        </is>
      </c>
      <c r="C147" s="159" t="n">
        <v>-0.31</v>
      </c>
      <c r="D147" s="95" t="inlineStr">
        <is>
          <t>◆  STABLE</t>
        </is>
      </c>
      <c r="E147" s="95" t="inlineStr">
        <is>
          <t>NEUTRAL</t>
        </is>
      </c>
      <c r="F147" s="96" t="inlineStr">
        <is>
          <t>CFNAI near zero — economy growing at or near trend</t>
        </is>
      </c>
    </row>
    <row r="148" ht="20" customHeight="1">
      <c r="B148" s="97" t="inlineStr">
        <is>
          <t>2025-08-01</t>
        </is>
      </c>
      <c r="C148" s="160" t="n">
        <v>-0.36</v>
      </c>
      <c r="D148" s="95" t="inlineStr">
        <is>
          <t>◆  STABLE</t>
        </is>
      </c>
      <c r="E148" s="95" t="inlineStr">
        <is>
          <t>NEUTRAL</t>
        </is>
      </c>
      <c r="F148" s="99" t="inlineStr">
        <is>
          <t>CFNAI near zero — economy growing at or near trend</t>
        </is>
      </c>
    </row>
    <row r="149" ht="20" customHeight="1">
      <c r="B149" s="93" t="inlineStr">
        <is>
          <t>2025-07-01</t>
        </is>
      </c>
      <c r="C149" s="159" t="n">
        <v>0.01</v>
      </c>
      <c r="D149" s="95" t="inlineStr">
        <is>
          <t>◆  STABLE</t>
        </is>
      </c>
      <c r="E149" s="95" t="inlineStr">
        <is>
          <t>NEUTRAL</t>
        </is>
      </c>
      <c r="F149" s="96" t="inlineStr">
        <is>
          <t>CFNAI near zero — economy growing at or near trend</t>
        </is>
      </c>
    </row>
    <row r="150" ht="20" customHeight="1">
      <c r="B150" s="97" t="inlineStr">
        <is>
          <t>2025-06-01</t>
        </is>
      </c>
      <c r="C150" s="160" t="n">
        <v>-0.07000000000000001</v>
      </c>
      <c r="D150" s="95" t="inlineStr">
        <is>
          <t>◆  STABLE</t>
        </is>
      </c>
      <c r="E150" s="95" t="inlineStr">
        <is>
          <t>NEUTRAL</t>
        </is>
      </c>
      <c r="F150" s="99" t="inlineStr">
        <is>
          <t>CFNAI near zero — economy growing at or near trend</t>
        </is>
      </c>
    </row>
    <row r="151" ht="20" customHeight="1">
      <c r="B151" s="93" t="inlineStr">
        <is>
          <t>2025-05-01</t>
        </is>
      </c>
      <c r="C151" s="159" t="n">
        <v>-0.29</v>
      </c>
      <c r="D151" s="95" t="inlineStr">
        <is>
          <t>◆  STABLE</t>
        </is>
      </c>
      <c r="E151" s="95" t="inlineStr">
        <is>
          <t>NEUTRAL</t>
        </is>
      </c>
      <c r="F151" s="96" t="inlineStr">
        <is>
          <t>CFNAI near zero — economy growing at or near trend</t>
        </is>
      </c>
    </row>
    <row r="152" ht="20" customHeight="1">
      <c r="B152" s="97" t="inlineStr">
        <is>
          <t>2025-04-01</t>
        </is>
      </c>
      <c r="C152" s="160" t="n">
        <v>-0.36</v>
      </c>
      <c r="D152" s="95" t="inlineStr">
        <is>
          <t>◆  STABLE</t>
        </is>
      </c>
      <c r="E152" s="95" t="inlineStr">
        <is>
          <t>NEUTRAL</t>
        </is>
      </c>
      <c r="F152" s="99" t="inlineStr">
        <is>
          <t>CFNAI near zero — economy growing at or near trend</t>
        </is>
      </c>
    </row>
    <row r="153" ht="20" customHeight="1">
      <c r="B153" s="100" t="inlineStr">
        <is>
          <t>2025-03-01</t>
        </is>
      </c>
      <c r="C153" s="161" t="n">
        <v>0.15</v>
      </c>
      <c r="D153" s="102" t="inlineStr">
        <is>
          <t>◆  STABLE</t>
        </is>
      </c>
      <c r="E153" s="102" t="inlineStr">
        <is>
          <t>NEUTRAL</t>
        </is>
      </c>
      <c r="F153" s="103" t="inlineStr">
        <is>
          <t>CFNAI near zero — economy growing at or near trend</t>
        </is>
      </c>
    </row>
    <row r="154" ht="16" customHeight="1"/>
    <row r="156" ht="32" customHeight="1">
      <c r="A156" s="152" t="inlineStr">
        <is>
          <t xml:space="preserve">  POLICY UNCERTAINTY (EPU)</t>
        </is>
      </c>
      <c r="B156" s="2" t="n"/>
      <c r="C156" s="2" t="n"/>
      <c r="D156" s="2" t="n"/>
      <c r="E156" s="2" t="n"/>
      <c r="F156" s="3" t="n"/>
    </row>
    <row r="157" ht="30" customHeight="1">
      <c r="B157" s="146" t="n">
        <v>407.4855</v>
      </c>
      <c r="C157" s="57" t="n"/>
      <c r="D157" s="114" t="inlineStr">
        <is>
          <t>CONTRACTIONARY</t>
        </is>
      </c>
      <c r="E157" s="154" t="inlineStr">
        <is>
          <t>Economic Impact</t>
        </is>
      </c>
      <c r="F157" s="32" t="inlineStr">
        <is>
          <t>Extreme policy uncertainty — crisis-level (historically: GFC, COVID, trade wars)</t>
        </is>
      </c>
    </row>
    <row r="158" ht="30" customHeight="1">
      <c r="B158" s="84" t="n"/>
      <c r="C158" s="74" t="n"/>
      <c r="D158" s="85" t="n"/>
      <c r="E158" s="154" t="inlineStr">
        <is>
          <t>Likely Policy Response</t>
        </is>
      </c>
      <c r="F158" s="23" t="inlineStr">
        <is>
          <t>Expansionary  —  Cut rates / QE</t>
        </is>
      </c>
    </row>
    <row r="159" ht="22" customHeight="1">
      <c r="B159" s="86" t="inlineStr">
        <is>
          <t xml:space="preserve">  Thresholds  |  &gt;200 Extreme  |  130–200 Elevated  |  &lt;80 Low</t>
        </is>
      </c>
      <c r="C159" s="2" t="n"/>
      <c r="D159" s="2" t="n"/>
      <c r="E159" s="2" t="n"/>
      <c r="F159" s="3" t="n"/>
    </row>
    <row r="160" ht="22" customHeight="1">
      <c r="B160" s="155" t="inlineStr">
        <is>
          <t>Date</t>
        </is>
      </c>
      <c r="C160" s="155" t="inlineStr">
        <is>
          <t>Value</t>
        </is>
      </c>
      <c r="D160" s="155" t="inlineStr">
        <is>
          <t>Signal</t>
        </is>
      </c>
      <c r="E160" s="155" t="inlineStr">
        <is>
          <t>Pressure</t>
        </is>
      </c>
      <c r="F160" s="156" t="inlineStr">
        <is>
          <t>Assessment</t>
        </is>
      </c>
    </row>
    <row r="161" ht="20" customHeight="1">
      <c r="B161" s="89" t="inlineStr">
        <is>
          <t>2026-03-01</t>
        </is>
      </c>
      <c r="C161" s="147" t="n">
        <v>407.4855</v>
      </c>
      <c r="D161" s="116" t="inlineStr">
        <is>
          <t>▼  CAUTION</t>
        </is>
      </c>
      <c r="E161" s="116" t="inlineStr">
        <is>
          <t>CONTRACTIONARY</t>
        </is>
      </c>
      <c r="F161" s="92" t="inlineStr">
        <is>
          <t>Extreme policy uncertainty — crisis-level (historically: GFC, COVID, trade wars)</t>
        </is>
      </c>
    </row>
    <row r="162" ht="20" customHeight="1">
      <c r="B162" s="93" t="inlineStr">
        <is>
          <t>2026-02-01</t>
        </is>
      </c>
      <c r="C162" s="148" t="n">
        <v>360.2289</v>
      </c>
      <c r="D162" s="119" t="inlineStr">
        <is>
          <t>▼  CAUTION</t>
        </is>
      </c>
      <c r="E162" s="119" t="inlineStr">
        <is>
          <t>CONTRACTIONARY</t>
        </is>
      </c>
      <c r="F162" s="96" t="inlineStr">
        <is>
          <t>Extreme policy uncertainty — crisis-level (historically: GFC, COVID, trade wars)</t>
        </is>
      </c>
    </row>
    <row r="163" ht="20" customHeight="1">
      <c r="B163" s="97" t="inlineStr">
        <is>
          <t>2026-01-01</t>
        </is>
      </c>
      <c r="C163" s="149" t="n">
        <v>349.751</v>
      </c>
      <c r="D163" s="119" t="inlineStr">
        <is>
          <t>▼  CAUTION</t>
        </is>
      </c>
      <c r="E163" s="119" t="inlineStr">
        <is>
          <t>CONTRACTIONARY</t>
        </is>
      </c>
      <c r="F163" s="99" t="inlineStr">
        <is>
          <t>Extreme policy uncertainty — crisis-level (historically: GFC, COVID, trade wars)</t>
        </is>
      </c>
    </row>
    <row r="164" ht="20" customHeight="1">
      <c r="B164" s="93" t="inlineStr">
        <is>
          <t>2025-12-01</t>
        </is>
      </c>
      <c r="C164" s="148" t="n">
        <v>351.9171</v>
      </c>
      <c r="D164" s="119" t="inlineStr">
        <is>
          <t>▼  CAUTION</t>
        </is>
      </c>
      <c r="E164" s="119" t="inlineStr">
        <is>
          <t>CONTRACTIONARY</t>
        </is>
      </c>
      <c r="F164" s="96" t="inlineStr">
        <is>
          <t>Extreme policy uncertainty — crisis-level (historically: GFC, COVID, trade wars)</t>
        </is>
      </c>
    </row>
    <row r="165" ht="20" customHeight="1">
      <c r="B165" s="97" t="inlineStr">
        <is>
          <t>2025-11-01</t>
        </is>
      </c>
      <c r="C165" s="149" t="n">
        <v>335.877</v>
      </c>
      <c r="D165" s="119" t="inlineStr">
        <is>
          <t>▼  CAUTION</t>
        </is>
      </c>
      <c r="E165" s="119" t="inlineStr">
        <is>
          <t>CONTRACTIONARY</t>
        </is>
      </c>
      <c r="F165" s="99" t="inlineStr">
        <is>
          <t>Extreme policy uncertainty — crisis-level (historically: GFC, COVID, trade wars)</t>
        </is>
      </c>
    </row>
    <row r="166" ht="20" customHeight="1">
      <c r="B166" s="93" t="inlineStr">
        <is>
          <t>2025-10-01</t>
        </is>
      </c>
      <c r="C166" s="148" t="n">
        <v>354.1868</v>
      </c>
      <c r="D166" s="119" t="inlineStr">
        <is>
          <t>▼  CAUTION</t>
        </is>
      </c>
      <c r="E166" s="119" t="inlineStr">
        <is>
          <t>CONTRACTIONARY</t>
        </is>
      </c>
      <c r="F166" s="96" t="inlineStr">
        <is>
          <t>Extreme policy uncertainty — crisis-level (historically: GFC, COVID, trade wars)</t>
        </is>
      </c>
    </row>
    <row r="167" ht="20" customHeight="1">
      <c r="B167" s="97" t="inlineStr">
        <is>
          <t>2025-09-01</t>
        </is>
      </c>
      <c r="C167" s="149" t="n">
        <v>341.923</v>
      </c>
      <c r="D167" s="119" t="inlineStr">
        <is>
          <t>▼  CAUTION</t>
        </is>
      </c>
      <c r="E167" s="119" t="inlineStr">
        <is>
          <t>CONTRACTIONARY</t>
        </is>
      </c>
      <c r="F167" s="99" t="inlineStr">
        <is>
          <t>Extreme policy uncertainty — crisis-level (historically: GFC, COVID, trade wars)</t>
        </is>
      </c>
    </row>
    <row r="168" ht="20" customHeight="1">
      <c r="B168" s="93" t="inlineStr">
        <is>
          <t>2025-08-01</t>
        </is>
      </c>
      <c r="C168" s="148" t="n">
        <v>306.9448</v>
      </c>
      <c r="D168" s="119" t="inlineStr">
        <is>
          <t>▼  CAUTION</t>
        </is>
      </c>
      <c r="E168" s="119" t="inlineStr">
        <is>
          <t>CONTRACTIONARY</t>
        </is>
      </c>
      <c r="F168" s="96" t="inlineStr">
        <is>
          <t>Extreme policy uncertainty — crisis-level (historically: GFC, COVID, trade wars)</t>
        </is>
      </c>
    </row>
    <row r="169" ht="20" customHeight="1">
      <c r="B169" s="97" t="inlineStr">
        <is>
          <t>2025-07-01</t>
        </is>
      </c>
      <c r="C169" s="149" t="n">
        <v>371.9852</v>
      </c>
      <c r="D169" s="119" t="inlineStr">
        <is>
          <t>▼  CAUTION</t>
        </is>
      </c>
      <c r="E169" s="119" t="inlineStr">
        <is>
          <t>CONTRACTIONARY</t>
        </is>
      </c>
      <c r="F169" s="99" t="inlineStr">
        <is>
          <t>Extreme policy uncertainty — crisis-level (historically: GFC, COVID, trade wars)</t>
        </is>
      </c>
    </row>
    <row r="170" ht="20" customHeight="1">
      <c r="B170" s="93" t="inlineStr">
        <is>
          <t>2025-06-01</t>
        </is>
      </c>
      <c r="C170" s="148" t="n">
        <v>399.6627</v>
      </c>
      <c r="D170" s="119" t="inlineStr">
        <is>
          <t>▼  CAUTION</t>
        </is>
      </c>
      <c r="E170" s="119" t="inlineStr">
        <is>
          <t>CONTRACTIONARY</t>
        </is>
      </c>
      <c r="F170" s="96" t="inlineStr">
        <is>
          <t>Extreme policy uncertainty — crisis-level (historically: GFC, COVID, trade wars)</t>
        </is>
      </c>
    </row>
    <row r="171" ht="20" customHeight="1">
      <c r="B171" s="97" t="inlineStr">
        <is>
          <t>2025-05-01</t>
        </is>
      </c>
      <c r="C171" s="149" t="n">
        <v>499.309</v>
      </c>
      <c r="D171" s="119" t="inlineStr">
        <is>
          <t>▼  CAUTION</t>
        </is>
      </c>
      <c r="E171" s="119" t="inlineStr">
        <is>
          <t>CONTRACTIONARY</t>
        </is>
      </c>
      <c r="F171" s="99" t="inlineStr">
        <is>
          <t>Extreme policy uncertainty — crisis-level (historically: GFC, COVID, trade wars)</t>
        </is>
      </c>
    </row>
    <row r="172" ht="20" customHeight="1">
      <c r="B172" s="100" t="inlineStr">
        <is>
          <t>2025-04-01</t>
        </is>
      </c>
      <c r="C172" s="150" t="n">
        <v>560.876</v>
      </c>
      <c r="D172" s="132" t="inlineStr">
        <is>
          <t>▼  CAUTION</t>
        </is>
      </c>
      <c r="E172" s="132" t="inlineStr">
        <is>
          <t>CONTRACTIONARY</t>
        </is>
      </c>
      <c r="F172" s="103" t="inlineStr">
        <is>
          <t>Extreme policy uncertainty — crisis-level (historically: GFC, COVID, trade wars)</t>
        </is>
      </c>
    </row>
    <row r="173" ht="16" customHeight="1"/>
    <row r="175" ht="12" customHeight="1"/>
    <row r="176" ht="34" customHeight="1">
      <c r="A176" s="121" t="inlineStr">
        <is>
          <t xml:space="preserve">  HISTORICAL TREND CHARTS  —  Last 12 Months</t>
        </is>
      </c>
      <c r="B176" s="2" t="n"/>
      <c r="C176" s="2" t="n"/>
      <c r="D176" s="2" t="n"/>
      <c r="E176" s="2" t="n"/>
      <c r="F176" s="3" t="n"/>
    </row>
  </sheetData>
  <mergeCells count="39">
    <mergeCell ref="B7:F7"/>
    <mergeCell ref="A99:F99"/>
    <mergeCell ref="A137:F137"/>
    <mergeCell ref="A80:F80"/>
    <mergeCell ref="A118:F118"/>
    <mergeCell ref="B119:C120"/>
    <mergeCell ref="B24:C25"/>
    <mergeCell ref="B121:F121"/>
    <mergeCell ref="B140:F140"/>
    <mergeCell ref="B159:F159"/>
    <mergeCell ref="D119:D120"/>
    <mergeCell ref="B102:F102"/>
    <mergeCell ref="A2:F2"/>
    <mergeCell ref="A42:F42"/>
    <mergeCell ref="A23:F23"/>
    <mergeCell ref="B5:C6"/>
    <mergeCell ref="B138:C139"/>
    <mergeCell ref="A4:F4"/>
    <mergeCell ref="D62:D63"/>
    <mergeCell ref="D24:D25"/>
    <mergeCell ref="A156:F156"/>
    <mergeCell ref="D43:D44"/>
    <mergeCell ref="B81:C82"/>
    <mergeCell ref="B62:C63"/>
    <mergeCell ref="B100:C101"/>
    <mergeCell ref="A176:F176"/>
    <mergeCell ref="D5:D6"/>
    <mergeCell ref="B43:C44"/>
    <mergeCell ref="B83:F83"/>
    <mergeCell ref="D138:D139"/>
    <mergeCell ref="D157:D158"/>
    <mergeCell ref="B64:F64"/>
    <mergeCell ref="A1:F1"/>
    <mergeCell ref="A61:F61"/>
    <mergeCell ref="D100:D101"/>
    <mergeCell ref="B45:F45"/>
    <mergeCell ref="D81:D82"/>
    <mergeCell ref="B157:C158"/>
    <mergeCell ref="B26:F26"/>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640394"/>
    <outlinePr summaryBelow="1" summaryRight="1"/>
    <pageSetUpPr/>
  </sheetPr>
  <dimension ref="A1:G24"/>
  <sheetViews>
    <sheetView showGridLines="0" workbookViewId="0">
      <selection activeCell="A1" sqref="A1"/>
    </sheetView>
  </sheetViews>
  <sheetFormatPr baseColWidth="8" defaultRowHeight="15"/>
  <cols>
    <col width="2" customWidth="1" min="1" max="1"/>
    <col width="30" customWidth="1" min="2" max="2"/>
    <col width="14" customWidth="1" min="3" max="3"/>
    <col width="10" customWidth="1" min="4" max="4"/>
    <col width="34" customWidth="1" min="5" max="5"/>
    <col width="46" customWidth="1" min="6" max="6"/>
    <col width="30" customWidth="1" min="7" max="7"/>
  </cols>
  <sheetData>
    <row r="1" ht="48" customHeight="1">
      <c r="A1" s="168" t="inlineStr">
        <is>
          <t xml:space="preserve">  MARKET POSITIONING &amp; SENTIMENT DASHBOARD</t>
        </is>
      </c>
      <c r="B1" s="2" t="n"/>
      <c r="C1" s="2" t="n"/>
      <c r="D1" s="2" t="n"/>
      <c r="E1" s="2" t="n"/>
      <c r="F1" s="2" t="n"/>
      <c r="G1" s="3" t="n"/>
    </row>
    <row r="2" ht="18" customHeight="1">
      <c r="A2" s="4" t="inlineStr">
        <is>
          <t xml:space="preserve">  Last Refreshed: 01 April 2026  |  17:56     |     Sources: FRED API (CBOE · Chicago Fed · St. Louis Fed · Federal Reserve SLOOS)     |     Manual: CFTC COT · AAII · Margin Debt</t>
        </is>
      </c>
      <c r="B2" s="2" t="n"/>
      <c r="C2" s="2" t="n"/>
      <c r="D2" s="2" t="n"/>
      <c r="E2" s="2" t="n"/>
      <c r="F2" s="2" t="n"/>
      <c r="G2" s="3" t="n"/>
    </row>
    <row r="3" ht="10" customHeight="1"/>
    <row r="4" ht="28" customHeight="1">
      <c r="B4" s="169" t="inlineStr">
        <is>
          <t xml:space="preserve">  WHY ANALYSE POSITIONING AND SENTIMENT?</t>
        </is>
      </c>
      <c r="C4" s="2" t="n"/>
      <c r="D4" s="2" t="n"/>
      <c r="E4" s="2" t="n"/>
      <c r="F4" s="2" t="n"/>
      <c r="G4" s="3" t="n"/>
    </row>
    <row r="5" ht="70" customHeight="1">
      <c r="B5" s="170" t="inlineStr">
        <is>
          <t>"Non-linear moves in asset prices are largely driven by just two things: liquidity and positioning.  As investors we want to be on the right side of those moves.  Typically they occur when the Street is positioned disproportionately on one side of the trade.  When positioning is really stretched in one direction, even small counter-consensus surprises can cause big moves in price.  Think of it like a rubber band — the further it's stretched, the more violently it will snap-back on a catalyst."</t>
        </is>
      </c>
      <c r="C5" s="2" t="n"/>
      <c r="D5" s="2" t="n"/>
      <c r="E5" s="2" t="n"/>
      <c r="F5" s="2" t="n"/>
      <c r="G5" s="3" t="n"/>
    </row>
    <row r="6" ht="18" customHeight="1">
      <c r="B6" s="171" t="inlineStr">
        <is>
          <t xml:space="preserve">  Sources used: FRED (VIX · NFCI · STLFSI · SLOOS)  |  CFTC Commitment of Traders  |  AAII Investor Sentiment Survey  |  Fed Flow of Funds (Z.1)  |  Options Markets</t>
        </is>
      </c>
      <c r="C6" s="2" t="n"/>
      <c r="D6" s="2" t="n"/>
      <c r="E6" s="2" t="n"/>
      <c r="F6" s="2" t="n"/>
      <c r="G6" s="3" t="n"/>
    </row>
    <row r="7" ht="8" customHeight="1"/>
    <row r="8" ht="24" customHeight="1">
      <c r="A8" s="121" t="inlineStr">
        <is>
          <t xml:space="preserve">  LIVE MARKET POSITIONING INDICATORS</t>
        </is>
      </c>
      <c r="B8" s="2" t="n"/>
      <c r="C8" s="2" t="n"/>
      <c r="D8" s="2" t="n"/>
      <c r="E8" s="2" t="n"/>
      <c r="F8" s="2" t="n"/>
      <c r="G8" s="3" t="n"/>
    </row>
    <row r="9" ht="26" customHeight="1">
      <c r="A9" s="172" t="inlineStr">
        <is>
          <t>#</t>
        </is>
      </c>
      <c r="B9" s="173" t="inlineStr">
        <is>
          <t>Indicator</t>
        </is>
      </c>
      <c r="C9" s="174" t="inlineStr">
        <is>
          <t>Latest Value</t>
        </is>
      </c>
      <c r="D9" s="174" t="inlineStr">
        <is>
          <t>Unit</t>
        </is>
      </c>
      <c r="E9" s="173" t="inlineStr">
        <is>
          <t>Condition / Signal</t>
        </is>
      </c>
      <c r="F9" s="173" t="inlineStr">
        <is>
          <t>Market Implication</t>
        </is>
      </c>
      <c r="G9" s="175" t="inlineStr">
        <is>
          <t>FRED Series</t>
        </is>
      </c>
    </row>
    <row r="10" ht="36" customHeight="1">
      <c r="A10" s="97" t="n">
        <v>1</v>
      </c>
      <c r="B10" s="59" t="inlineStr">
        <is>
          <t>CBOE VIX  (Fear Index)</t>
        </is>
      </c>
      <c r="C10" s="176" t="n">
        <v>25.25</v>
      </c>
      <c r="D10" s="22" t="inlineStr">
        <is>
          <t>index</t>
        </is>
      </c>
      <c r="E10" s="23" t="inlineStr">
        <is>
          <t>Normal volatility range — balanced sentiment</t>
        </is>
      </c>
      <c r="F10" s="23" t="inlineStr">
        <is>
          <t>Neutral  —  no strong positioning signal</t>
        </is>
      </c>
      <c r="G10" s="177" t="inlineStr">
        <is>
          <t>VIXCLS</t>
        </is>
      </c>
    </row>
    <row r="11" ht="36" customHeight="1">
      <c r="A11" s="93" t="n">
        <v>2</v>
      </c>
      <c r="B11" s="64" t="inlineStr">
        <is>
          <t>Chicago Financial Conditions</t>
        </is>
      </c>
      <c r="C11" s="178" t="n">
        <v>-0.434</v>
      </c>
      <c r="D11" s="31" t="inlineStr">
        <is>
          <t>index</t>
        </is>
      </c>
      <c r="E11" s="32" t="inlineStr">
        <is>
          <t>Financial conditions near long-run average</t>
        </is>
      </c>
      <c r="F11" s="32" t="inlineStr">
        <is>
          <t>Neutral  —  no clear directional signal</t>
        </is>
      </c>
      <c r="G11" s="179" t="inlineStr">
        <is>
          <t>NFCI</t>
        </is>
      </c>
    </row>
    <row r="12" ht="36" customHeight="1">
      <c r="A12" s="97" t="n">
        <v>3</v>
      </c>
      <c r="B12" s="59" t="inlineStr">
        <is>
          <t>St. Louis Financial Stress Index</t>
        </is>
      </c>
      <c r="C12" s="178" t="n">
        <v>-0.183</v>
      </c>
      <c r="D12" s="22" t="inlineStr">
        <is>
          <t>index</t>
        </is>
      </c>
      <c r="E12" s="23" t="inlineStr">
        <is>
          <t>Financial stress near long-run average</t>
        </is>
      </c>
      <c r="F12" s="23" t="inlineStr">
        <is>
          <t>Neutral  —  no clear directional signal</t>
        </is>
      </c>
      <c r="G12" s="177" t="inlineStr">
        <is>
          <t>STLFSI4</t>
        </is>
      </c>
    </row>
    <row r="13" ht="36" customHeight="1">
      <c r="A13" s="93" t="n">
        <v>4</v>
      </c>
      <c r="B13" s="64" t="inlineStr">
        <is>
          <t>Bank Lending Standards (C&amp;I %net)</t>
        </is>
      </c>
      <c r="C13" s="176" t="n">
        <v>5.3</v>
      </c>
      <c r="D13" s="31" t="inlineStr">
        <is>
          <t>% net</t>
        </is>
      </c>
      <c r="E13" s="32" t="inlineStr">
        <is>
          <t>Lending standards near normal</t>
        </is>
      </c>
      <c r="F13" s="32" t="inlineStr">
        <is>
          <t>Neutral  —  credit conditions OK</t>
        </is>
      </c>
      <c r="G13" s="179" t="inlineStr">
        <is>
          <t>DRTSCILM</t>
        </is>
      </c>
    </row>
    <row r="14" ht="36" customHeight="1">
      <c r="A14" s="180" t="n">
        <v>5</v>
      </c>
      <c r="B14" s="181" t="inlineStr">
        <is>
          <t>10Y–2Y Yield Curve Spread</t>
        </is>
      </c>
      <c r="C14" s="182" t="n">
        <v>0.51</v>
      </c>
      <c r="D14" s="183" t="inlineStr">
        <is>
          <t>% spread</t>
        </is>
      </c>
      <c r="E14" s="184" t="inlineStr">
        <is>
          <t>Upward sloping yield curve — growth-supportive environment</t>
        </is>
      </c>
      <c r="F14" s="184" t="inlineStr">
        <is>
          <t>Risk-On  —  curve structure supports expansion</t>
        </is>
      </c>
      <c r="G14" s="185" t="inlineStr">
        <is>
          <t>T10Y2Y</t>
        </is>
      </c>
    </row>
    <row r="15" ht="8" customHeight="1"/>
    <row r="16" ht="46" customHeight="1">
      <c r="A16" s="186" t="inlineStr">
        <is>
          <t>OVERALL POSITIONING SIGNAL:   RISK-ON     |     Risk-Off: 0   Neutral: 4   Risk-On: 1</t>
        </is>
      </c>
      <c r="B16" s="2" t="n"/>
      <c r="C16" s="2" t="n"/>
      <c r="D16" s="2" t="n"/>
      <c r="E16" s="2" t="n"/>
      <c r="F16" s="2" t="n"/>
      <c r="G16" s="3" t="n"/>
    </row>
    <row r="17" ht="8" customHeight="1"/>
    <row r="18" ht="24" customHeight="1">
      <c r="A18" s="187" t="inlineStr">
        <is>
          <t xml:space="preserve">  MANUAL REFERENCE SOURCES  —  Refresh these alongside the FRED data</t>
        </is>
      </c>
      <c r="B18" s="56" t="n"/>
      <c r="C18" s="56" t="n"/>
      <c r="D18" s="56" t="n"/>
      <c r="E18" s="56" t="n"/>
      <c r="F18" s="56" t="n"/>
      <c r="G18" s="57" t="n"/>
    </row>
    <row r="19" ht="54" customHeight="1">
      <c r="A19" s="188" t="n"/>
      <c r="B19" s="189" t="inlineStr">
        <is>
          <t>CFTC Commitment of Traders</t>
        </is>
      </c>
      <c r="C19" s="190" t="inlineStr">
        <is>
          <t>Manual</t>
        </is>
      </c>
      <c r="D19" s="191" t="inlineStr">
        <is>
          <t>—</t>
        </is>
      </c>
      <c r="E19" s="192" t="inlineStr">
        <is>
          <t>Net speculative positioning for S&amp;P 500, Treasuries, Gold, Oil, and FX futures. Released every Friday at 3:30 PM ET. Use 'Traders in Financial Futures' (TFF) report.</t>
        </is>
      </c>
      <c r="F19" s="60" t="n"/>
      <c r="G19" s="193" t="inlineStr">
        <is>
          <t>publicreporting.cftc.gov / cftc.gov/MarketReports/CommitmentsofTraders</t>
        </is>
      </c>
    </row>
    <row r="20" ht="54" customHeight="1">
      <c r="A20" s="188" t="n"/>
      <c r="B20" s="189" t="inlineStr">
        <is>
          <t>AAII Investor Sentiment Survey</t>
        </is>
      </c>
      <c r="C20" s="194" t="inlineStr">
        <is>
          <t>Manual</t>
        </is>
      </c>
      <c r="D20" s="195" t="inlineStr">
        <is>
          <t>—</t>
        </is>
      </c>
      <c r="E20" s="196" t="inlineStr">
        <is>
          <t>Weekly bull/bear survey of individual investors. Bull-Bear spread historically mean-reverts. Extremes (&gt;40% bulls or &lt;20% bulls) are contrarian signals. Released every Thursday.</t>
        </is>
      </c>
      <c r="F20" s="60" t="n"/>
      <c r="G20" s="197" t="inlineStr">
        <is>
          <t>aaii.com/sentimentsurvey</t>
        </is>
      </c>
    </row>
    <row r="21" ht="54" customHeight="1">
      <c r="A21" s="188" t="n"/>
      <c r="B21" s="189" t="inlineStr">
        <is>
          <t>FINRA Margin Debt</t>
        </is>
      </c>
      <c r="C21" s="190" t="inlineStr">
        <is>
          <t>Manual</t>
        </is>
      </c>
      <c r="D21" s="191" t="inlineStr">
        <is>
          <t>—</t>
        </is>
      </c>
      <c r="E21" s="192" t="inlineStr">
        <is>
          <t>Monthly total margin debt outstanding on NYSE. Rising margin with rising prices = leverage-driven rally (fragile). Falling margin + falling prices = forced deleveraging.</t>
        </is>
      </c>
      <c r="F21" s="60" t="n"/>
      <c r="G21" s="193" t="inlineStr">
        <is>
          <t>finra.org/rules-guidance/key-topics/margin-accounts/margin-statistics</t>
        </is>
      </c>
    </row>
    <row r="22" ht="54" customHeight="1">
      <c r="A22" s="84" t="n"/>
      <c r="B22" s="198" t="inlineStr">
        <is>
          <t>Fed Flow of Funds  (Z.1)</t>
        </is>
      </c>
      <c r="C22" s="199" t="inlineStr">
        <is>
          <t>Manual</t>
        </is>
      </c>
      <c r="D22" s="200" t="inlineStr">
        <is>
          <t>—</t>
        </is>
      </c>
      <c r="E22" s="201" t="inlineStr">
        <is>
          <t>Quarterly breakdown of household equity allocations as % of total financial assets. Equity allocation &gt;40% has historically coincided with poor forward 10-year returns.</t>
        </is>
      </c>
      <c r="F22" s="71" t="n"/>
      <c r="G22" s="202" t="inlineStr">
        <is>
          <t>federalreserve.gov/releases/z1/  |  FRED series: BOGZ1FL153064476Q</t>
        </is>
      </c>
    </row>
    <row r="23" ht="8" customHeight="1"/>
    <row r="24" ht="28" customHeight="1">
      <c r="A24" s="121" t="inlineStr">
        <is>
          <t xml:space="preserve">  HISTORICAL TREND CHARTS  —  Positioning Indicators</t>
        </is>
      </c>
      <c r="B24" s="2" t="n"/>
      <c r="C24" s="2" t="n"/>
      <c r="D24" s="2" t="n"/>
      <c r="E24" s="2" t="n"/>
      <c r="F24" s="2" t="n"/>
      <c r="G24" s="3" t="n"/>
    </row>
  </sheetData>
  <mergeCells count="13">
    <mergeCell ref="E20:F20"/>
    <mergeCell ref="A1:G1"/>
    <mergeCell ref="A18:G18"/>
    <mergeCell ref="B5:G5"/>
    <mergeCell ref="A8:G8"/>
    <mergeCell ref="E19:F19"/>
    <mergeCell ref="B4:G4"/>
    <mergeCell ref="A2:G2"/>
    <mergeCell ref="A16:G16"/>
    <mergeCell ref="E22:F22"/>
    <mergeCell ref="A24:G24"/>
    <mergeCell ref="E21:F21"/>
    <mergeCell ref="B6:G6"/>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4A4A4A"/>
    <outlinePr summaryBelow="1" summaryRight="1"/>
    <pageSetUpPr/>
  </sheetPr>
  <dimension ref="A1:D53"/>
  <sheetViews>
    <sheetView showGridLines="0" workbookViewId="0">
      <selection activeCell="A1" sqref="A1"/>
    </sheetView>
  </sheetViews>
  <sheetFormatPr baseColWidth="8" defaultRowHeight="15"/>
  <cols>
    <col width="2" customWidth="1" min="1" max="1"/>
    <col width="28" customWidth="1" min="2" max="2"/>
    <col width="66" customWidth="1" min="3" max="3"/>
    <col width="2" customWidth="1" min="4" max="4"/>
  </cols>
  <sheetData>
    <row r="1" ht="40" customHeight="1">
      <c r="A1" s="203" t="inlineStr">
        <is>
          <t xml:space="preserve">  GUIDE, DATA SOURCES &amp; INTERPRETATION</t>
        </is>
      </c>
      <c r="B1" s="2" t="n"/>
      <c r="C1" s="2" t="n"/>
      <c r="D1" s="3" t="n"/>
    </row>
    <row r="3" ht="28" customHeight="1">
      <c r="B3" s="169" t="inlineStr">
        <is>
          <t xml:space="preserve">  HOW TO REFRESH</t>
        </is>
      </c>
      <c r="C3" s="3" t="n"/>
    </row>
    <row r="4" ht="44" customHeight="1">
      <c r="B4" s="204" t="inlineStr">
        <is>
          <t>Monthly workflow</t>
        </is>
      </c>
      <c r="C4" s="205" t="inlineStr">
        <is>
          <t>1. Replace PDFs in 'Reports/' with the latest month's reports.  2. Run: py -3 economic_tracker.py  from the project folder.  3. The script extracts PMI values, updates the data log and regenerates US_Economic_Tracker.xlsx.</t>
        </is>
      </c>
    </row>
    <row r="5" ht="44" customHeight="1">
      <c r="B5" s="204" t="inlineStr">
        <is>
          <t>Automation</t>
        </is>
      </c>
      <c r="C5" s="205" t="inlineStr">
        <is>
          <t>See READ-ME.txt for full instructions on automating via Windows Task Scheduler, macOS launchd, or cron.</t>
        </is>
      </c>
    </row>
    <row r="6" ht="44" customHeight="1">
      <c r="B6" s="204" t="inlineStr">
        <is>
          <t>Portability</t>
        </is>
      </c>
      <c r="C6" s="205" t="inlineStr">
        <is>
          <t>This project is fully self-contained — all paths are relative to the script.  Copy the entire folder to any machine with Python installed and it will run without modification.</t>
        </is>
      </c>
    </row>
    <row r="7" ht="8" customHeight="1"/>
    <row r="8" ht="28" customHeight="1">
      <c r="B8" s="206" t="inlineStr">
        <is>
          <t xml:space="preserve">  PDF NAMING CONVENTIONS</t>
        </is>
      </c>
      <c r="C8" s="3" t="n"/>
    </row>
    <row r="9" ht="44" customHeight="1">
      <c r="B9" s="204" t="inlineStr">
        <is>
          <t>ISM Manufacturing PMI</t>
        </is>
      </c>
      <c r="C9" s="205" t="inlineStr">
        <is>
          <t>Released 1st business day of month.  Source: ismworld.org.  Filename must contain 'manuf'  (e.g. ISM Manufacturing.pdf)</t>
        </is>
      </c>
    </row>
    <row r="10" ht="44" customHeight="1">
      <c r="B10" s="204" t="inlineStr">
        <is>
          <t>ISM Non-Manufacturing (Services) PMI</t>
        </is>
      </c>
      <c r="C10" s="205" t="inlineStr">
        <is>
          <t>Released 3rd business day of month.  Source: ismworld.org.  Filename must contain 'serv' or 'non-manuf'  (e.g. ISM Services.pdf)</t>
        </is>
      </c>
    </row>
    <row r="11" ht="44" customHeight="1">
      <c r="B11" s="204" t="inlineStr">
        <is>
          <t>Chicago PMI  (MNI Chicago Business Barometer)</t>
        </is>
      </c>
      <c r="C11" s="205" t="inlineStr">
        <is>
          <t>Released last business day of month.  Source: MNI Indicators.  Filename must contain 'mni' or 'barometer'  (e.g. 20260228.MNI_Chicago_Bus_Barometer_Press_2026_02.pdf)</t>
        </is>
      </c>
    </row>
    <row r="12" ht="44" customHeight="1">
      <c r="B12" s="204" t="inlineStr">
        <is>
          <t>Manual override</t>
        </is>
      </c>
      <c r="C12" s="205" t="inlineStr">
        <is>
          <t>If auto-extraction fails, open ISM_Manual_Input.xlsx and enter the value manually.  The script reads this file on every run.</t>
        </is>
      </c>
    </row>
    <row r="13" ht="8" customHeight="1"/>
    <row r="14" ht="28" customHeight="1">
      <c r="B14" s="207" t="inlineStr">
        <is>
          <t xml:space="preserve">  SIGNAL INTERPRETATION</t>
        </is>
      </c>
      <c r="C14" s="3" t="n"/>
    </row>
    <row r="15" ht="44" customHeight="1">
      <c r="B15" s="204" t="inlineStr">
        <is>
          <t>EXPANSIONARY  (green)</t>
        </is>
      </c>
      <c r="C15" s="205" t="inlineStr">
        <is>
          <t>The metric is consistent with a growing, healthy economy.</t>
        </is>
      </c>
    </row>
    <row r="16" ht="44" customHeight="1">
      <c r="B16" s="204" t="inlineStr">
        <is>
          <t>NEUTRAL  (amber)</t>
        </is>
      </c>
      <c r="C16" s="205" t="inlineStr">
        <is>
          <t>The metric is within the target or expected range.  No clear policy signal.</t>
        </is>
      </c>
    </row>
    <row r="17" ht="44" customHeight="1">
      <c r="B17" s="204" t="inlineStr">
        <is>
          <t>CONTRACTIONARY  (red)</t>
        </is>
      </c>
      <c r="C17" s="205" t="inlineStr">
        <is>
          <t>The metric signals economic weakness or above-target inflation.</t>
        </is>
      </c>
    </row>
    <row r="18" ht="44" customHeight="1">
      <c r="B18" s="204" t="inlineStr">
        <is>
          <t>Overall Assessment</t>
        </is>
      </c>
      <c r="C18" s="205" t="inlineStr">
        <is>
          <t>The overall signal requires a true majority (50%+).  If 50% or more of known metrics are contractionary the reading is CONTRACTIONARY; if 50% or more are expansionary it is EXPANSIONARY.  When neither side reaches 50%, the reading shows as MIXED with the leaning direction in parentheses — e.g. MIXED (CONTRACTIONARY).  Neutral metrics count toward the total denominator but do not break ties.</t>
        </is>
      </c>
    </row>
    <row r="19" ht="44" customHeight="1">
      <c r="B19" s="204" t="inlineStr">
        <is>
          <t>Chicago PMI  (Regional)</t>
        </is>
      </c>
      <c r="C19" s="205" t="inlineStr">
        <is>
          <t>The Chicago PMI is a regional survey covering the Midwest manufacturing sector.  It is included in the overall signal count but should be interpreted with slightly less weight than the national ISM headline indicators.</t>
        </is>
      </c>
    </row>
    <row r="20" ht="44" customHeight="1">
      <c r="B20" s="204" t="inlineStr">
        <is>
          <t>DFM Factor Scores  (3-factor model in v8)</t>
        </is>
      </c>
      <c r="C20" s="205" t="inlineStr">
        <is>
          <t>Three-factor Dynamic Factor Model estimated via Kalman filter (statsmodels).  Growth factor: UNRATE, IC4WSA, PAYEMS, UMCSENT, ISM Mfg/Svc, Chicago PMI + CFNAI, building permits, JOLTS (where history allows).  Inflation factor: CPI, Core CPI, PPI, CRB, 10Y breakeven, M2 growth.  Credit factor (NEW v8): HY OAS, IG OAS, NFCI, 10Y−3M yield curve.  z-score &gt; +0.5 = EXPANDING/ELEVATED/STRESSED; &lt; −0.5 = CONTRACTING/SUBDUED/SUPPORTIVE.  ▲▼→ arrows show 3-month momentum.  PCA fallback if statsmodels is unavailable.</t>
        </is>
      </c>
    </row>
    <row r="21" ht="44" customHeight="1">
      <c r="B21" s="204" t="inlineStr">
        <is>
          <t>HMM Probabilistic Regime Detection  (v8)</t>
        </is>
      </c>
      <c r="C21" s="205" t="inlineStr">
        <is>
          <t>4-state Gaussian Hidden Markov Model fitted to the (growth, inflation) DFM factor time series.  Outputs probability distribution across all four regimes — e.g. 'Reflation 62% | Stagflation 24%'.  Detects regime transitions before they are obvious in raw data.  Built-in implementation using numpy/scipy — no additional packages required.  Transition Risk flag appears when the second-highest regime exceeds 30% probability.</t>
        </is>
      </c>
    </row>
    <row r="22" ht="44" customHeight="1">
      <c r="B22" s="204" t="inlineStr">
        <is>
          <t>Weighted Macro Score  (v8)</t>
        </is>
      </c>
      <c r="C22" s="205" t="inlineStr">
        <is>
          <t>Replaces simple majority-vote as the primary macro assessment.  Each indicator is weighted by its predictive timing: Leading indicators (credit spreads, yield curve, building permits, JOLTS, CFNAI, breakevens) get 2–3x weight.  Coincident indicators (ISM, claims, payrolls) get 1.5–2x.  Lagging indicators (unemployment, CPI, PPI, consumer sentiment) get 1x.  Output: normalized score from −1.0 to +1.0 with breakdown by tier.  The unweighted vote is preserved as a secondary reference.</t>
        </is>
      </c>
    </row>
    <row r="23" ht="44" customHeight="1">
      <c r="B23" s="204" t="inlineStr">
        <is>
          <t>Sahm Rule  (regime sub-indicators)</t>
        </is>
      </c>
      <c r="C23" s="205" t="inlineStr">
        <is>
          <t>Federal Reserve recession indicator developed by Claudia Sahm.  Computed as 3-month average unemployment rate minus the 12-month minimum.  A reading of 0.50 or above has preceded every US recession since 1970 with no false positives.  Green &lt; 0.30 (low risk) | Amber 0.30–0.49 (elevated) | Red ≥ 0.50 (recession risk).  Uses existing UNRATE history — no additional FRED call required.</t>
        </is>
      </c>
    </row>
    <row r="24" ht="8" customHeight="1"/>
    <row r="25" ht="28" customHeight="1">
      <c r="B25" s="208" t="inlineStr">
        <is>
          <t xml:space="preserve">  FRED DATA SOURCES</t>
        </is>
      </c>
      <c r="C25" s="3" t="n"/>
    </row>
    <row r="26" ht="44" customHeight="1">
      <c r="B26" s="204" t="inlineStr">
        <is>
          <t>Unemployment Rate</t>
        </is>
      </c>
      <c r="C26" s="205" t="inlineStr">
        <is>
          <t>FRED: UNRATE         |  Bureau of Labor Statistics  |  Monthly</t>
        </is>
      </c>
    </row>
    <row r="27" ht="44" customHeight="1">
      <c r="B27" s="204" t="inlineStr">
        <is>
          <t>Initial Jobless Claims</t>
        </is>
      </c>
      <c r="C27" s="205" t="inlineStr">
        <is>
          <t>FRED: IC4WSA (4-wk avg) |  Dept of Labor           |  Weekly</t>
        </is>
      </c>
    </row>
    <row r="28" ht="44" customHeight="1">
      <c r="B28" s="204" t="inlineStr">
        <is>
          <t>Nonfarm Payrolls</t>
        </is>
      </c>
      <c r="C28" s="205" t="inlineStr">
        <is>
          <t>FRED: PAYEMS (MoM change)  |  BLS                  |  Monthly</t>
        </is>
      </c>
    </row>
    <row r="29" ht="44" customHeight="1">
      <c r="B29" s="204" t="inlineStr">
        <is>
          <t>CPI YoY %</t>
        </is>
      </c>
      <c r="C29" s="205" t="inlineStr">
        <is>
          <t>FRED: CPIAUCSL (YoY % computed)  |  BLS             |  Monthly</t>
        </is>
      </c>
    </row>
    <row r="30" ht="44" customHeight="1">
      <c r="B30" s="204" t="inlineStr">
        <is>
          <t>Core CPI YoY %</t>
        </is>
      </c>
      <c r="C30" s="205" t="inlineStr">
        <is>
          <t>FRED: CPILFESL (YoY % computed)  |  BLS             |  Monthly</t>
        </is>
      </c>
    </row>
    <row r="31" ht="44" customHeight="1">
      <c r="B31" s="204" t="inlineStr">
        <is>
          <t>PPI — All Commodities MoM %</t>
        </is>
      </c>
      <c r="C31" s="205" t="inlineStr">
        <is>
          <t>FRED: PPIACO (MoM % computed)  |  BLS  |  Monthly  (All-commodity producer price index — not the finished-goods headline PPI)</t>
        </is>
      </c>
    </row>
    <row r="32" ht="44" customHeight="1">
      <c r="B32" s="204" t="inlineStr">
        <is>
          <t>CRB Commodity Index YoY %</t>
        </is>
      </c>
      <c r="C32" s="205" t="inlineStr">
        <is>
          <t>FRED: PALLFNFINDEXM (IMF Primary Commodity Price Index — used as CRB proxy)  |  IMF  |  Monthly  &gt;+10% = contractionary (inflationary pipeline)  |  &lt;−5% = contractionary (deflationary)  |  else neutral.  Also feeds inflation panel of DFM.</t>
        </is>
      </c>
    </row>
    <row r="33" ht="44" customHeight="1">
      <c r="B33" s="204" t="inlineStr">
        <is>
          <t>Consumer Sentiment (UoM)</t>
        </is>
      </c>
      <c r="C33" s="205" t="inlineStr">
        <is>
          <t>FRED: UMCSENT  |  University of Michigan Consumer Sentiment Index  |  Monthly</t>
        </is>
      </c>
    </row>
    <row r="34" ht="44" customHeight="1">
      <c r="B34" s="204" t="inlineStr">
        <is>
          <t>Federal Funds Rate</t>
        </is>
      </c>
      <c r="C34" s="205" t="inlineStr">
        <is>
          <t>FRED: FEDFUNDS  |  Federal Reserve                   |  Monthly  (chart only)</t>
        </is>
      </c>
    </row>
    <row r="35" ht="44" customHeight="1">
      <c r="B35" s="204" t="inlineStr">
        <is>
          <t>10Y–2Y Yield Curve Spread</t>
        </is>
      </c>
      <c r="C35" s="205" t="inlineStr">
        <is>
          <t>FRED: T10Y2Y  |  Federal Reserve Board  |  Daily (latest observation used).  &gt; +0.5% = NORMAL (upward-sloping, growth-supportive)  |  −0.5% to +0.5% = FLAT (caution)  |  &lt; −0.5% = INVERTED (classic recession warning, historically 12–18 months leading).  Shown on Market Positioning sheet with 1-year chart (~260 daily observations).</t>
        </is>
      </c>
    </row>
    <row r="36" ht="8" customHeight="1"/>
    <row r="37" ht="28" customHeight="1">
      <c r="B37" s="209" t="inlineStr">
        <is>
          <t xml:space="preserve">  LEADING INDICATORS (v8)</t>
        </is>
      </c>
      <c r="C37" s="3" t="n"/>
    </row>
    <row r="38" ht="44" customHeight="1">
      <c r="B38" s="204" t="inlineStr">
        <is>
          <t>HY Credit Spread (OAS)</t>
        </is>
      </c>
      <c r="C38" s="205" t="inlineStr">
        <is>
          <t>FRED: BAMLH0A0HYM2  |  ICE BofA US High Yield Index OAS  |  Daily (aggregated to monthly).  &gt;500bp = credit stress (risk-off)  |  &lt;350bp = tight spreads (risk-on).  Leading indicator: widens before every recession as investors flee to quality.</t>
        </is>
      </c>
    </row>
    <row r="39" ht="44" customHeight="1">
      <c r="B39" s="204" t="inlineStr">
        <is>
          <t>IG Credit Spread (OAS)</t>
        </is>
      </c>
      <c r="C39" s="205" t="inlineStr">
        <is>
          <t>FRED: BAMLC0A0CM  |  ICE BofA US Corporate Index OAS  |  Daily (aggregated to monthly).  &gt;150bp = stress  |  &lt;100bp = benign.  Investment-grade spreads filter out HY-specific noise.</t>
        </is>
      </c>
    </row>
    <row r="40" ht="44" customHeight="1">
      <c r="B40" s="204" t="inlineStr">
        <is>
          <t>10Y–3M Yield Curve</t>
        </is>
      </c>
      <c r="C40" s="205" t="inlineStr">
        <is>
          <t>FRED: T10Y3M  |  10-Year minus 3-Month Treasury spread  |  Daily.  More predictive than T10Y2Y — every US recession since 1960 preceded by inversion of this curve.  &lt;0 = inverted (recession warning)  |  &gt;1.5% = steep (growth-supportive).</t>
        </is>
      </c>
    </row>
    <row r="41" ht="44" customHeight="1">
      <c r="B41" s="204" t="inlineStr">
        <is>
          <t>Building Permits (YoY %)</t>
        </is>
      </c>
      <c r="C41" s="205" t="inlineStr">
        <is>
          <t>FRED: PERMIT  |  New Privately-Owned Housing Units Authorized  |  Monthly.  12-month leading indicator — predicted 8 of last 9 US recessions.  &lt;−10% YoY = contractionary  |  &gt;+5% = expansionary.</t>
        </is>
      </c>
    </row>
    <row r="42" ht="44" customHeight="1">
      <c r="B42" s="204" t="inlineStr">
        <is>
          <t>JOLTS Job Openings (YoY %)</t>
        </is>
      </c>
      <c r="C42" s="205" t="inlineStr">
        <is>
          <t>FRED: JTSJOL  |  Job Openings: Total Nonfarm  |  Monthly.  Leading indicator of labour demand — falls before unemployment rate rises.  &lt;−15% YoY = weakening demand  |  &gt;+10% = strong demand.</t>
        </is>
      </c>
    </row>
    <row r="43" ht="44" customHeight="1">
      <c r="B43" s="204" t="inlineStr">
        <is>
          <t>JOLTS Quits Rate (%)</t>
        </is>
      </c>
      <c r="C43" s="205" t="inlineStr">
        <is>
          <t>FRED: JTSQUR  |  Quits: Total Nonfarm  |  Monthly.  Worker confidence indicator — people quit when they're confident of finding better jobs.  &lt;2.0% = low confidence (cooling)  |  &gt;2.5% = high confidence.</t>
        </is>
      </c>
    </row>
    <row r="44" ht="44" customHeight="1">
      <c r="B44" s="204" t="inlineStr">
        <is>
          <t>10Y Breakeven Inflation</t>
        </is>
      </c>
      <c r="C44" s="205" t="inlineStr">
        <is>
          <t>FRED: T10YIE  |  10-Year Breakeven Inflation Rate  |  Daily.  Market-implied inflation expectations (TIPS vs nominal).  Forward-looking unlike CPI.  &gt;2.8% = elevated expectations  |  &lt;1.8% = deflation risk  |  1.8–2.8% = anchored.</t>
        </is>
      </c>
    </row>
    <row r="45" ht="44" customHeight="1">
      <c r="B45" s="204" t="inlineStr">
        <is>
          <t>Chicago Fed National Activity Index</t>
        </is>
      </c>
      <c r="C45" s="205" t="inlineStr">
        <is>
          <t>FRED: CFNAI  |  Weighted average of 85 monthly indicators  |  Monthly.  Best single nowcast proxy for GDP growth.  Zero = long-run trend.  &lt;−0.7 = recession signal  |  &gt;+0.2 = above-trend growth.</t>
        </is>
      </c>
    </row>
    <row r="46" ht="44" customHeight="1">
      <c r="B46" s="204" t="inlineStr">
        <is>
          <t>Economic Policy Uncertainty (EPU)</t>
        </is>
      </c>
      <c r="C46" s="205" t="inlineStr">
        <is>
          <t>FRED: USEPUINDXD  |  Baker-Bloom-Davis EPU Index  |  Daily (aggregated to monthly).  Captures policy/geopolitical uncertainty from newspaper coverage + tax code expiration + economic forecaster disagreement.  &gt;200 = extreme crisis-level (GFC, COVID, trade wars)  |  130-200 = elevated (growth headwind)  |  &lt;80 = low/stable (supports growth).</t>
        </is>
      </c>
    </row>
    <row r="47" ht="8" customHeight="1"/>
    <row r="48" ht="28" customHeight="1">
      <c r="B48" s="169" t="inlineStr">
        <is>
          <t xml:space="preserve">  DASHBOARD CONCEPTS (v8+)</t>
        </is>
      </c>
      <c r="C48" s="3" t="n"/>
    </row>
    <row r="49" ht="44" customHeight="1">
      <c r="B49" s="204" t="inlineStr">
        <is>
          <t>Weighted Macro Score</t>
        </is>
      </c>
      <c r="C49" s="205" t="inlineStr">
        <is>
          <t>Primary overall signal. Each indicator is weighted by predictive timing: Leading indicators (credit spreads, yield curve, JOLTS, permits, CFNAI, EPU) get 2-3x weight.  Coincident indicators (ISM, claims, payrolls) get 1.5-2x.  Lagging (unemployment, CPI, consumer sentiment) get 1x.  Score ranges from -1.0 (hard contractionary) to +1.0 (expansionary).  The weight column (Wt) shows each indicator's multiplier.  Colours: teal = leading, blue = coincident, purple = lagging.</t>
        </is>
      </c>
    </row>
    <row r="50" ht="44" customHeight="1">
      <c r="B50" s="204" t="inlineStr">
        <is>
          <t>Sector Playbook Signals</t>
        </is>
      </c>
      <c r="C50" s="205" t="inlineStr">
        <is>
          <t>OVERWEIGHT: historical avg annual return &gt; +2% in this regime -- tilt toward this sector.  NEUTRAL: return between 0% and +2% -- hold market weight.  UNDERWEIGHT: negative historical return -- reduce exposure.  Top 3 sectors are bolded.  Source: Invictus Research Equity Sector Backtest.</t>
        </is>
      </c>
    </row>
    <row r="51" ht="44" customHeight="1">
      <c r="B51" s="204" t="inlineStr">
        <is>
          <t>Conviction Signal</t>
        </is>
      </c>
      <c r="C51" s="205" t="inlineStr">
        <is>
          <t>Combines HMM regime confidence with the directional forecast to suggest allocation intensity.  HIGH = full regime tilt recommended (HMM &gt; 80% and forecast directional).  MEDIUM = half tilt (regime clear but outlook mixed).  LOW = minimal tilt (regime uncertain).  TRANSITION = reduce risk, raise cash.</t>
        </is>
      </c>
    </row>
    <row r="52" ht="44" customHeight="1">
      <c r="B52" s="204" t="inlineStr">
        <is>
          <t>Backtest (12M Forward)</t>
        </is>
      </c>
      <c r="C52" s="205" t="inlineStr">
        <is>
          <t>Historical validation using NASDAQ Composite (FRED: NASDAQCOM).  For each month in the DFM factor history, the regime is classified and the 12-month forward equity return is computed.  Results are averaged by regime.  Small sample sizes -- treat as directional guidance, not forecasts.</t>
        </is>
      </c>
    </row>
    <row r="53" ht="44" customHeight="1">
      <c r="B53" s="204" t="inlineStr">
        <is>
          <t>Positioning (RISK-ON / RISK-OFF)</t>
        </is>
      </c>
      <c r="C53" s="205" t="inlineStr">
        <is>
          <t>Composite of 5 market indicators: VIX (fear), NFCI (financial conditions), STLFSI (financial stress), Bank Lending Standards (credit availability), 10Y-2Y Yield Curve (term structure).  Majority vote: more risk-off signals = RISK-OFF overall.  See Market Positioning sheet for detail.</t>
        </is>
      </c>
    </row>
    <row r="54" ht="8" customHeight="1"/>
  </sheetData>
  <mergeCells count="7">
    <mergeCell ref="A1:D1"/>
    <mergeCell ref="B48:C48"/>
    <mergeCell ref="B25:C25"/>
    <mergeCell ref="B3:C3"/>
    <mergeCell ref="B37:C37"/>
    <mergeCell ref="B14:C14"/>
    <mergeCell ref="B8:C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2026-04-01T16:56:14Z</dcterms:created>
  <dcterms:modified xsi:type="dcterms:W3CDTF">2026-04-01T16:56:15Z</dcterms:modified>
</cp:coreProperties>
</file>